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lj/Documents/Data Analysis/"/>
    </mc:Choice>
  </mc:AlternateContent>
  <xr:revisionPtr revIDLastSave="0" documentId="8_{D968D672-D9D1-9144-ADFA-A3D8415C090E}" xr6:coauthVersionLast="47" xr6:coauthVersionMax="47" xr10:uidLastSave="{00000000-0000-0000-0000-000000000000}"/>
  <bookViews>
    <workbookView xWindow="22500" yWindow="600" windowWidth="46300" windowHeight="25660" activeTab="3" xr2:uid="{53A37599-0ED9-A447-8D43-C969692942AE}"/>
  </bookViews>
  <sheets>
    <sheet name="DATA_PDC" sheetId="5" r:id="rId1"/>
    <sheet name="DATA_PROVIDER_PANEL" sheetId="7" r:id="rId2"/>
    <sheet name="DATA_HIGH_RISK" sheetId="6" r:id="rId3"/>
    <sheet name="DASHBOARD" sheetId="14" r:id="rId4"/>
  </sheets>
  <definedNames>
    <definedName name="ExternalData_1" localSheetId="2" hidden="1">DATA_HIGH_RISK!$A$1:$I$62</definedName>
    <definedName name="ExternalData_1" localSheetId="0" hidden="1">DATA_PDC!$A$1:$F$308</definedName>
    <definedName name="ExternalData_2" localSheetId="1" hidden="1">DATA_PROVIDER_PANEL!$A$1:$K$37</definedName>
    <definedName name="Slicer_drug_class">#N/A</definedName>
    <definedName name="Slicer_provider_id">#N/A</definedName>
  </definedNames>
  <calcPr calcId="181029"/>
  <pivotCaches>
    <pivotCache cacheId="38" r:id="rId5"/>
    <pivotCache cacheId="36" r:id="rId6"/>
    <pivotCache cacheId="4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4" l="1"/>
  <c r="B14" i="14"/>
  <c r="B12" i="14"/>
  <c r="J2" i="7"/>
  <c r="H2" i="7"/>
  <c r="J37" i="7"/>
  <c r="H37"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 i="7"/>
  <c r="H4" i="7"/>
  <c r="H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31AEE1-A6D5-9244-B879-E4D91B52374C}" keepAlive="1" name="Query - high_risk_outreach" description="Connection to the 'high_risk_outreach' query in the workbook." type="5" refreshedVersion="8" background="1" saveData="1">
    <dbPr connection="Provider=Microsoft.Mashup.OleDb.1;Data Source=$Workbook$;Location=high_risk_outreach;Extended Properties=&quot;&quot;" command="SELECT * FROM [high_risk_outreach]"/>
  </connection>
  <connection id="2" xr16:uid="{6F081E3F-FF13-9149-A1EB-0C1D7329AD69}" keepAlive="1" name="Query - pdc_results" description="Connection to the 'pdc_results' query in the workbook." type="5" refreshedVersion="8" background="1" saveData="1">
    <dbPr connection="Provider=Microsoft.Mashup.OleDb.1;Data Source=$Workbook$;Location=pdc_results;Extended Properties=&quot;&quot;" command="SELECT * FROM [pdc_results]"/>
  </connection>
  <connection id="3" xr16:uid="{8F4AB5F2-F7F2-C546-8D46-A14A5DD8F74B}" keepAlive="1" name="Query - provider_panel" description="Connection to the 'provider_panel' query in the workbook." type="5" refreshedVersion="8" background="1" saveData="1">
    <dbPr connection="Provider=Microsoft.Mashup.OleDb.1;Data Source=$Workbook$;Location=provider_panel;Extended Properties=&quot;&quot;" command="SELECT * FROM [provider_panel]"/>
  </connection>
</connections>
</file>

<file path=xl/sharedStrings.xml><?xml version="1.0" encoding="utf-8"?>
<sst xmlns="http://schemas.openxmlformats.org/spreadsheetml/2006/main" count="1466" uniqueCount="236">
  <si>
    <t>patient_id</t>
  </si>
  <si>
    <t>drug_class</t>
  </si>
  <si>
    <t>covered_days</t>
  </si>
  <si>
    <t>period_days</t>
  </si>
  <si>
    <t>pdc</t>
  </si>
  <si>
    <t>risk_band</t>
  </si>
  <si>
    <t>PT00034</t>
  </si>
  <si>
    <t>htn</t>
  </si>
  <si>
    <t>High Risk</t>
  </si>
  <si>
    <t>PT00038</t>
  </si>
  <si>
    <t>statin</t>
  </si>
  <si>
    <t>PT00090</t>
  </si>
  <si>
    <t>diabetes</t>
  </si>
  <si>
    <t>PT00007</t>
  </si>
  <si>
    <t>PT00048</t>
  </si>
  <si>
    <t>PT00083</t>
  </si>
  <si>
    <t>PT00102</t>
  </si>
  <si>
    <t>PT00104</t>
  </si>
  <si>
    <t>PT00130</t>
  </si>
  <si>
    <t>PT00141</t>
  </si>
  <si>
    <t>PT00053</t>
  </si>
  <si>
    <t>PT00129</t>
  </si>
  <si>
    <t>PT00004</t>
  </si>
  <si>
    <t>PT00012</t>
  </si>
  <si>
    <t>PT00014</t>
  </si>
  <si>
    <t>PT00015</t>
  </si>
  <si>
    <t>PT00017</t>
  </si>
  <si>
    <t>PT00023</t>
  </si>
  <si>
    <t>PT00030</t>
  </si>
  <si>
    <t>PT00036</t>
  </si>
  <si>
    <t>PT00037</t>
  </si>
  <si>
    <t>PT00039</t>
  </si>
  <si>
    <t>PT00044</t>
  </si>
  <si>
    <t>PT00047</t>
  </si>
  <si>
    <t>PT00054</t>
  </si>
  <si>
    <t>PT00075</t>
  </si>
  <si>
    <t>PT00081</t>
  </si>
  <si>
    <t>PT00082</t>
  </si>
  <si>
    <t>PT00086</t>
  </si>
  <si>
    <t>PT00089</t>
  </si>
  <si>
    <t>PT00093</t>
  </si>
  <si>
    <t>PT00098</t>
  </si>
  <si>
    <t>PT00107</t>
  </si>
  <si>
    <t>PT00113</t>
  </si>
  <si>
    <t>PT00114</t>
  </si>
  <si>
    <t>PT00124</t>
  </si>
  <si>
    <t>PT00126</t>
  </si>
  <si>
    <t>PT00138</t>
  </si>
  <si>
    <t>PT00144</t>
  </si>
  <si>
    <t>PT00159</t>
  </si>
  <si>
    <t>PT00056</t>
  </si>
  <si>
    <t>PT00116</t>
  </si>
  <si>
    <t>PT00117</t>
  </si>
  <si>
    <t>PT00062</t>
  </si>
  <si>
    <t>PT00020</t>
  </si>
  <si>
    <t>PT00018</t>
  </si>
  <si>
    <t>PT00143</t>
  </si>
  <si>
    <t>PT00065</t>
  </si>
  <si>
    <t>PT00096</t>
  </si>
  <si>
    <t>PT00105</t>
  </si>
  <si>
    <t>PT00025</t>
  </si>
  <si>
    <t>PT00097</t>
  </si>
  <si>
    <t>PT00003</t>
  </si>
  <si>
    <t>PT00131</t>
  </si>
  <si>
    <t>PT00001</t>
  </si>
  <si>
    <t>Moderate Risk</t>
  </si>
  <si>
    <t>PT00006</t>
  </si>
  <si>
    <t>PT00009</t>
  </si>
  <si>
    <t>PT00010</t>
  </si>
  <si>
    <t>PT00013</t>
  </si>
  <si>
    <t>PT00026</t>
  </si>
  <si>
    <t>PT00052</t>
  </si>
  <si>
    <t>PT00068</t>
  </si>
  <si>
    <t>PT00074</t>
  </si>
  <si>
    <t>PT00120</t>
  </si>
  <si>
    <t>PT00125</t>
  </si>
  <si>
    <t>PT00134</t>
  </si>
  <si>
    <t>PT00136</t>
  </si>
  <si>
    <t>PT00137</t>
  </si>
  <si>
    <t>PT00147</t>
  </si>
  <si>
    <t>PT00154</t>
  </si>
  <si>
    <t>PT00049</t>
  </si>
  <si>
    <t>PT00028</t>
  </si>
  <si>
    <t>PT00128</t>
  </si>
  <si>
    <t>PT00160</t>
  </si>
  <si>
    <t>PT00155</t>
  </si>
  <si>
    <t>PT00092</t>
  </si>
  <si>
    <t>PT00051</t>
  </si>
  <si>
    <t>PT00127</t>
  </si>
  <si>
    <t>PT00111</t>
  </si>
  <si>
    <t>PT00149</t>
  </si>
  <si>
    <t>PT00066</t>
  </si>
  <si>
    <t>PT00108</t>
  </si>
  <si>
    <t>PT00115</t>
  </si>
  <si>
    <t>PT00142</t>
  </si>
  <si>
    <t>PT00103</t>
  </si>
  <si>
    <t>PT00076</t>
  </si>
  <si>
    <t>PT00079</t>
  </si>
  <si>
    <t>PT00071</t>
  </si>
  <si>
    <t>PT00100</t>
  </si>
  <si>
    <t>PT00029</t>
  </si>
  <si>
    <t>PT00122</t>
  </si>
  <si>
    <t>PT00058</t>
  </si>
  <si>
    <t>PT00110</t>
  </si>
  <si>
    <t>PT00042</t>
  </si>
  <si>
    <t>PT00046</t>
  </si>
  <si>
    <t>PT00139</t>
  </si>
  <si>
    <t>PT00123</t>
  </si>
  <si>
    <t>PT00150</t>
  </si>
  <si>
    <t>PT00035</t>
  </si>
  <si>
    <t>PT00067</t>
  </si>
  <si>
    <t>PT00101</t>
  </si>
  <si>
    <t>PT00002</t>
  </si>
  <si>
    <t>PT00070</t>
  </si>
  <si>
    <t>PT00063</t>
  </si>
  <si>
    <t>Adherent</t>
  </si>
  <si>
    <t>PT00094</t>
  </si>
  <si>
    <t>PT00033</t>
  </si>
  <si>
    <t>PT00135</t>
  </si>
  <si>
    <t>PT00148</t>
  </si>
  <si>
    <t>PT00057</t>
  </si>
  <si>
    <t>PT00112</t>
  </si>
  <si>
    <t>PT00157</t>
  </si>
  <si>
    <t>PT00109</t>
  </si>
  <si>
    <t>PT00140</t>
  </si>
  <si>
    <t>PT00016</t>
  </si>
  <si>
    <t>PT00151</t>
  </si>
  <si>
    <t>PT00069</t>
  </si>
  <si>
    <t>PT00080</t>
  </si>
  <si>
    <t>PT00055</t>
  </si>
  <si>
    <t>PT00073</t>
  </si>
  <si>
    <t>PT00091</t>
  </si>
  <si>
    <t>PT00121</t>
  </si>
  <si>
    <t>PT00008</t>
  </si>
  <si>
    <t>PT00021</t>
  </si>
  <si>
    <t>PT00045</t>
  </si>
  <si>
    <t>PT00132</t>
  </si>
  <si>
    <t>PT00032</t>
  </si>
  <si>
    <t>PT00041</t>
  </si>
  <si>
    <t>PT00085</t>
  </si>
  <si>
    <t>PT00060</t>
  </si>
  <si>
    <t>PT00022</t>
  </si>
  <si>
    <t>PT00031</t>
  </si>
  <si>
    <t>PT00072</t>
  </si>
  <si>
    <t>PT00087</t>
  </si>
  <si>
    <t>PT00118</t>
  </si>
  <si>
    <t>PT00119</t>
  </si>
  <si>
    <t>PT00095</t>
  </si>
  <si>
    <t>PT00024</t>
  </si>
  <si>
    <t>PT00040</t>
  </si>
  <si>
    <t>PT00061</t>
  </si>
  <si>
    <t>PT00088</t>
  </si>
  <si>
    <t>PT00153</t>
  </si>
  <si>
    <t>PT00050</t>
  </si>
  <si>
    <t>PT00156</t>
  </si>
  <si>
    <t>PT00011</t>
  </si>
  <si>
    <t>PT00027</t>
  </si>
  <si>
    <t>PT00064</t>
  </si>
  <si>
    <t>PT00133</t>
  </si>
  <si>
    <t>PT00084</t>
  </si>
  <si>
    <t>PT00019</t>
  </si>
  <si>
    <t>PT00078</t>
  </si>
  <si>
    <t>PT00077</t>
  </si>
  <si>
    <t>PT00043</t>
  </si>
  <si>
    <t>PT00152</t>
  </si>
  <si>
    <t>PT00158</t>
  </si>
  <si>
    <t>PT00005</t>
  </si>
  <si>
    <t>PT00099</t>
  </si>
  <si>
    <t>PT00106</t>
  </si>
  <si>
    <t>PT00145</t>
  </si>
  <si>
    <t>PT00146</t>
  </si>
  <si>
    <t>PT00059</t>
  </si>
  <si>
    <t>provider_id</t>
  </si>
  <si>
    <t>provider_name</t>
  </si>
  <si>
    <t>clinic</t>
  </si>
  <si>
    <t>last_fill_date</t>
  </si>
  <si>
    <t>estimated_runout_date</t>
  </si>
  <si>
    <t>days_since_runout_by_period_end</t>
  </si>
  <si>
    <t>P001</t>
  </si>
  <si>
    <t>Provider 1</t>
  </si>
  <si>
    <t>OC Family Medicine</t>
  </si>
  <si>
    <t>P011</t>
  </si>
  <si>
    <t>Provider 11</t>
  </si>
  <si>
    <t>P010</t>
  </si>
  <si>
    <t>Provider 10</t>
  </si>
  <si>
    <t>P007</t>
  </si>
  <si>
    <t>Provider 7</t>
  </si>
  <si>
    <t>P012</t>
  </si>
  <si>
    <t>Provider 12</t>
  </si>
  <si>
    <t>P005</t>
  </si>
  <si>
    <t>Provider 5</t>
  </si>
  <si>
    <t>Coastal Internal Med</t>
  </si>
  <si>
    <t>P006</t>
  </si>
  <si>
    <t>Provider 6</t>
  </si>
  <si>
    <t>P002</t>
  </si>
  <si>
    <t>Provider 2</t>
  </si>
  <si>
    <t>P009</t>
  </si>
  <si>
    <t>Provider 9</t>
  </si>
  <si>
    <t>Sunset Cardiology</t>
  </si>
  <si>
    <t>P004</t>
  </si>
  <si>
    <t>Provider 4</t>
  </si>
  <si>
    <t>P008</t>
  </si>
  <si>
    <t>Provider 8</t>
  </si>
  <si>
    <t>P003</t>
  </si>
  <si>
    <t>Provider 3</t>
  </si>
  <si>
    <t>Harbor Endocrine</t>
  </si>
  <si>
    <t>patients_in_class</t>
  </si>
  <si>
    <t>pct_adherent</t>
  </si>
  <si>
    <t>pct_high_risk</t>
  </si>
  <si>
    <t>avg_pdc</t>
  </si>
  <si>
    <t>Row Labels</t>
  </si>
  <si>
    <t>Grand Total</t>
  </si>
  <si>
    <t>Column Labels</t>
  </si>
  <si>
    <t>(All)</t>
  </si>
  <si>
    <t>pct_adherent_helper</t>
  </si>
  <si>
    <t>pct_high_risk_helper</t>
  </si>
  <si>
    <t>Column1</t>
  </si>
  <si>
    <t>Avg PDC</t>
  </si>
  <si>
    <t>% Adherent</t>
  </si>
  <si>
    <t>% High Risk</t>
  </si>
  <si>
    <t xml:space="preserve"> =patients_in_class * pct_high_risk / 100</t>
  </si>
  <si>
    <t>KPIs shown as provider-level averages</t>
  </si>
  <si>
    <t>Count of patient_id</t>
  </si>
  <si>
    <t>PDC Pivot Table</t>
  </si>
  <si>
    <t>Provider Panel Pivot Table</t>
  </si>
  <si>
    <t>Days Since Runout</t>
  </si>
  <si>
    <t>Total Average PDC</t>
  </si>
  <si>
    <t>Average PDC</t>
  </si>
  <si>
    <t xml:space="preserve">Patient Medication AdherenceDashboard
(Jul–Dec 2025)
</t>
  </si>
  <si>
    <t>Total Adherence %</t>
  </si>
  <si>
    <t>Adherence %</t>
  </si>
  <si>
    <t>Total High-Risk %</t>
  </si>
  <si>
    <t>High-Risk %</t>
  </si>
  <si>
    <t>Total Patients in Class</t>
  </si>
  <si>
    <t>Patients in Class</t>
  </si>
  <si>
    <t>High-Risk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</si>
</sst>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13" x14ac:knownFonts="1">
    <font>
      <sz val="12"/>
      <color theme="1"/>
      <name val="Aptos Narrow"/>
      <family val="2"/>
      <scheme val="minor"/>
    </font>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8"/>
      <name val="Aptos Narrow"/>
      <family val="2"/>
      <scheme val="minor"/>
    </font>
    <font>
      <i/>
      <sz val="12"/>
      <color theme="1"/>
      <name val="Aptos Narrow"/>
      <family val="2"/>
      <scheme val="minor"/>
    </font>
    <font>
      <b/>
      <sz val="12"/>
      <color theme="1"/>
      <name val="Aptos Narrow"/>
      <scheme val="minor"/>
    </font>
    <font>
      <b/>
      <sz val="22"/>
      <color theme="1"/>
      <name val="Aptos Narrow"/>
      <scheme val="minor"/>
    </font>
    <font>
      <sz val="14"/>
      <color theme="1"/>
      <name val="Aptos Narrow"/>
      <scheme val="minor"/>
    </font>
    <font>
      <sz val="14"/>
      <color rgb="FF006100"/>
      <name val="Aptos Narrow"/>
      <family val="2"/>
      <scheme val="minor"/>
    </font>
    <font>
      <sz val="14"/>
      <color rgb="FF9C0006"/>
      <name val="Aptos Narrow"/>
      <family val="2"/>
      <scheme val="minor"/>
    </font>
    <font>
      <b/>
      <sz val="14"/>
      <color theme="1"/>
      <name val="Aptos Narrow"/>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cellStyleXfs>
  <cellXfs count="55">
    <xf numFmtId="0" fontId="0" fillId="0" borderId="0" xfId="0"/>
    <xf numFmtId="0" fontId="0" fillId="0" borderId="0" xfId="0" applyNumberFormat="1"/>
    <xf numFmtId="14" fontId="0" fillId="0" borderId="0" xfId="0" applyNumberFormat="1"/>
    <xf numFmtId="0" fontId="0" fillId="0" borderId="0" xfId="1" applyNumberFormat="1" applyFont="1"/>
    <xf numFmtId="166" fontId="0" fillId="0" borderId="0" xfId="0" applyNumberFormat="1"/>
    <xf numFmtId="0" fontId="0" fillId="0" borderId="0" xfId="0" applyAlignment="1">
      <alignment horizontal="center"/>
    </xf>
    <xf numFmtId="0" fontId="6" fillId="0" borderId="0" xfId="0" applyFont="1" applyAlignment="1"/>
    <xf numFmtId="0" fontId="0" fillId="0" borderId="0" xfId="0" applyAlignment="1"/>
    <xf numFmtId="0" fontId="8" fillId="0" borderId="0" xfId="0" applyFont="1" applyAlignment="1">
      <alignment horizontal="left" wrapText="1"/>
    </xf>
    <xf numFmtId="0" fontId="9" fillId="0" borderId="0" xfId="0" applyFont="1" applyAlignment="1">
      <alignment horizontal="left"/>
    </xf>
    <xf numFmtId="166" fontId="10" fillId="2" borderId="0" xfId="2" applyNumberFormat="1" applyFont="1"/>
    <xf numFmtId="166" fontId="11" fillId="3" borderId="0" xfId="3" applyNumberFormat="1" applyFont="1"/>
    <xf numFmtId="166" fontId="12" fillId="0" borderId="0" xfId="1" applyNumberFormat="1" applyFont="1"/>
    <xf numFmtId="0" fontId="0" fillId="0" borderId="0" xfId="0" applyBorder="1"/>
    <xf numFmtId="0" fontId="0" fillId="0" borderId="0" xfId="0" pivotButton="1" applyBorder="1"/>
    <xf numFmtId="0" fontId="2" fillId="2" borderId="0" xfId="0" applyNumberFormat="1" applyFont="1" applyFill="1" applyBorder="1"/>
    <xf numFmtId="0" fontId="3" fillId="3" borderId="0" xfId="0" applyNumberFormat="1" applyFont="1" applyFill="1" applyBorder="1"/>
    <xf numFmtId="0" fontId="4" fillId="4" borderId="0" xfId="0" applyNumberFormat="1" applyFont="1" applyFill="1" applyBorder="1"/>
    <xf numFmtId="0" fontId="0" fillId="0" borderId="0" xfId="0" applyNumberFormat="1" applyBorder="1"/>
    <xf numFmtId="0" fontId="0" fillId="0" borderId="1" xfId="0" applyNumberFormat="1" applyBorder="1"/>
    <xf numFmtId="166" fontId="2" fillId="2" borderId="0" xfId="0" applyNumberFormat="1" applyFont="1" applyFill="1" applyBorder="1"/>
    <xf numFmtId="166" fontId="3" fillId="3" borderId="0" xfId="0" applyNumberFormat="1" applyFont="1" applyFill="1" applyBorder="1"/>
    <xf numFmtId="2" fontId="0" fillId="0" borderId="0" xfId="0" applyNumberFormat="1" applyBorder="1"/>
    <xf numFmtId="0" fontId="7" fillId="0" borderId="3"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pivotButton="1" applyBorder="1"/>
    <xf numFmtId="0" fontId="0" fillId="0" borderId="7" xfId="0" applyBorder="1"/>
    <xf numFmtId="0" fontId="0" fillId="0" borderId="6" xfId="0" applyBorder="1"/>
    <xf numFmtId="0" fontId="0" fillId="0" borderId="6" xfId="0" applyBorder="1" applyAlignment="1">
      <alignment horizontal="left"/>
    </xf>
    <xf numFmtId="0" fontId="0" fillId="0" borderId="7" xfId="0" applyNumberFormat="1" applyBorder="1"/>
    <xf numFmtId="0" fontId="0" fillId="0" borderId="8" xfId="0" applyBorder="1" applyAlignment="1">
      <alignment horizontal="left"/>
    </xf>
    <xf numFmtId="0" fontId="0" fillId="0" borderId="9" xfId="0" applyNumberFormat="1" applyBorder="1"/>
    <xf numFmtId="0" fontId="6" fillId="0" borderId="4" xfId="0" applyFont="1" applyBorder="1" applyAlignment="1"/>
    <xf numFmtId="0" fontId="0" fillId="0" borderId="4" xfId="0" applyBorder="1"/>
    <xf numFmtId="0" fontId="0" fillId="0" borderId="5" xfId="0" applyBorder="1"/>
    <xf numFmtId="2" fontId="0" fillId="0" borderId="7" xfId="0" applyNumberFormat="1" applyBorder="1"/>
    <xf numFmtId="166" fontId="2" fillId="2" borderId="1" xfId="0" applyNumberFormat="1" applyFont="1" applyFill="1" applyBorder="1"/>
    <xf numFmtId="166" fontId="3" fillId="3" borderId="1" xfId="0" applyNumberFormat="1" applyFont="1" applyFill="1" applyBorder="1"/>
    <xf numFmtId="2" fontId="0" fillId="0" borderId="1" xfId="0" applyNumberFormat="1" applyBorder="1"/>
    <xf numFmtId="2" fontId="0" fillId="0" borderId="9" xfId="0" applyNumberFormat="1" applyBorder="1"/>
    <xf numFmtId="0" fontId="7" fillId="0" borderId="4" xfId="0" applyFont="1" applyBorder="1" applyAlignment="1">
      <alignment horizontal="center"/>
    </xf>
    <xf numFmtId="0" fontId="0" fillId="0" borderId="4" xfId="0" applyBorder="1" applyAlignment="1"/>
    <xf numFmtId="0" fontId="0" fillId="0" borderId="1" xfId="0" applyBorder="1" applyAlignment="1"/>
    <xf numFmtId="0" fontId="0" fillId="0" borderId="10" xfId="0" pivotButton="1" applyBorder="1"/>
    <xf numFmtId="0" fontId="0" fillId="0" borderId="11" xfId="0" applyBorder="1"/>
    <xf numFmtId="9" fontId="0" fillId="0" borderId="3" xfId="0" applyNumberFormat="1" applyBorder="1"/>
    <xf numFmtId="0" fontId="0" fillId="0" borderId="5" xfId="0" applyNumberFormat="1" applyBorder="1"/>
    <xf numFmtId="9" fontId="0" fillId="0" borderId="6" xfId="0" applyNumberFormat="1" applyBorder="1"/>
    <xf numFmtId="9" fontId="0" fillId="0" borderId="8" xfId="0" applyNumberFormat="1" applyBorder="1"/>
    <xf numFmtId="0" fontId="0" fillId="0" borderId="2" xfId="0" pivotButton="1" applyBorder="1"/>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10" xfId="0" applyBorder="1"/>
  </cellXfs>
  <cellStyles count="4">
    <cellStyle name="Bad" xfId="3" builtinId="27"/>
    <cellStyle name="Good" xfId="2" builtinId="26"/>
    <cellStyle name="Normal" xfId="0" builtinId="0"/>
    <cellStyle name="Percent" xfId="1" builtinId="5"/>
  </cellStyles>
  <dxfs count="246">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numFmt numFmtId="2" formatCode="0.00"/>
    </dxf>
    <dxf>
      <numFmt numFmtId="2" formatCode="0.00"/>
    </dxf>
    <dxf>
      <numFmt numFmtId="2" formatCode="0.00"/>
    </dxf>
    <dxf>
      <numFmt numFmtId="2" formatCode="0.00"/>
    </dxf>
    <dxf>
      <numFmt numFmtId="171" formatCode="0.000"/>
    </dxf>
    <dxf>
      <numFmt numFmtId="2" formatCode="0.00"/>
    </dxf>
    <dxf>
      <numFmt numFmtId="2" formatCode="0.00"/>
    </dxf>
    <dxf>
      <numFmt numFmtId="2" formatCode="0.00"/>
    </dxf>
    <dxf>
      <numFmt numFmtId="2" formatCode="0.00"/>
    </dxf>
    <dxf>
      <numFmt numFmtId="13" formatCode="0%"/>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rgb="FF9C5700"/>
        <name val="Aptos Narrow"/>
        <family val="2"/>
        <scheme val="minor"/>
      </font>
      <fill>
        <patternFill patternType="solid">
          <fgColor indexed="65"/>
          <bgColor rgb="FFFFEB9C"/>
        </patternFill>
      </fill>
    </dxf>
    <dxf>
      <font>
        <b val="0"/>
        <i val="0"/>
        <strike val="0"/>
        <condense val="0"/>
        <extend val="0"/>
        <outline val="0"/>
        <shadow val="0"/>
        <u val="none"/>
        <vertAlign val="baseline"/>
        <sz val="12"/>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2"/>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2"/>
        <color theme="1"/>
        <name val="Aptos Narrow"/>
        <family val="2"/>
        <scheme val="minor"/>
      </font>
      <numFmt numFmtId="0" formatCode="General"/>
    </dxf>
    <dxf>
      <numFmt numFmtId="0" formatCode="General"/>
    </dxf>
    <dxf>
      <numFmt numFmtId="0" formatCode="General"/>
    </dxf>
    <dxf>
      <font>
        <b val="0"/>
        <i val="0"/>
        <strike val="0"/>
        <condense val="0"/>
        <extend val="0"/>
        <outline val="0"/>
        <shadow val="0"/>
        <u val="none"/>
        <vertAlign val="baseline"/>
        <sz val="12"/>
        <color theme="1"/>
        <name val="Aptos Narrow"/>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12</xdr:col>
      <xdr:colOff>63500</xdr:colOff>
      <xdr:row>1</xdr:row>
      <xdr:rowOff>139700</xdr:rowOff>
    </xdr:from>
    <xdr:to>
      <xdr:col>13</xdr:col>
      <xdr:colOff>977900</xdr:colOff>
      <xdr:row>14</xdr:row>
      <xdr:rowOff>3172</xdr:rowOff>
    </xdr:to>
    <mc:AlternateContent xmlns:mc="http://schemas.openxmlformats.org/markup-compatibility/2006">
      <mc:Choice xmlns:a14="http://schemas.microsoft.com/office/drawing/2010/main" Requires="a14">
        <xdr:graphicFrame macro="">
          <xdr:nvGraphicFramePr>
            <xdr:cNvPr id="2" name="provider_id">
              <a:extLst>
                <a:ext uri="{FF2B5EF4-FFF2-40B4-BE49-F238E27FC236}">
                  <a16:creationId xmlns:a16="http://schemas.microsoft.com/office/drawing/2014/main" id="{9E06A163-0E64-B90D-E328-92956EBA3E46}"/>
                </a:ext>
              </a:extLst>
            </xdr:cNvPr>
            <xdr:cNvGraphicFramePr/>
          </xdr:nvGraphicFramePr>
          <xdr:xfrm>
            <a:off x="0" y="0"/>
            <a:ext cx="0" cy="0"/>
          </xdr:xfrm>
          <a:graphic>
            <a:graphicData uri="http://schemas.microsoft.com/office/drawing/2010/slicer">
              <sle:slicer xmlns:sle="http://schemas.microsoft.com/office/drawing/2010/slicer" name="provider_id"/>
            </a:graphicData>
          </a:graphic>
        </xdr:graphicFrame>
      </mc:Choice>
      <mc:Fallback>
        <xdr:sp macro="" textlink="">
          <xdr:nvSpPr>
            <xdr:cNvPr id="0" name=""/>
            <xdr:cNvSpPr>
              <a:spLocks noTextEdit="1"/>
            </xdr:cNvSpPr>
          </xdr:nvSpPr>
          <xdr:spPr>
            <a:xfrm>
              <a:off x="11861800" y="787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939800</xdr:colOff>
      <xdr:row>1</xdr:row>
      <xdr:rowOff>139700</xdr:rowOff>
    </xdr:from>
    <xdr:to>
      <xdr:col>17</xdr:col>
      <xdr:colOff>12700</xdr:colOff>
      <xdr:row>14</xdr:row>
      <xdr:rowOff>3172</xdr:rowOff>
    </xdr:to>
    <mc:AlternateContent xmlns:mc="http://schemas.openxmlformats.org/markup-compatibility/2006">
      <mc:Choice xmlns:a14="http://schemas.microsoft.com/office/drawing/2010/main" Requires="a14">
        <xdr:graphicFrame macro="">
          <xdr:nvGraphicFramePr>
            <xdr:cNvPr id="3" name="drug_class">
              <a:extLst>
                <a:ext uri="{FF2B5EF4-FFF2-40B4-BE49-F238E27FC236}">
                  <a16:creationId xmlns:a16="http://schemas.microsoft.com/office/drawing/2014/main" id="{1CDC01D8-9B32-9462-8BE1-76664E0B06AD}"/>
                </a:ext>
              </a:extLst>
            </xdr:cNvPr>
            <xdr:cNvGraphicFramePr/>
          </xdr:nvGraphicFramePr>
          <xdr:xfrm>
            <a:off x="0" y="0"/>
            <a:ext cx="0" cy="0"/>
          </xdr:xfrm>
          <a:graphic>
            <a:graphicData uri="http://schemas.microsoft.com/office/drawing/2010/slicer">
              <sle:slicer xmlns:sle="http://schemas.microsoft.com/office/drawing/2010/slicer" name="drug_class"/>
            </a:graphicData>
          </a:graphic>
        </xdr:graphicFrame>
      </mc:Choice>
      <mc:Fallback>
        <xdr:sp macro="" textlink="">
          <xdr:nvSpPr>
            <xdr:cNvPr id="0" name=""/>
            <xdr:cNvSpPr>
              <a:spLocks noTextEdit="1"/>
            </xdr:cNvSpPr>
          </xdr:nvSpPr>
          <xdr:spPr>
            <a:xfrm>
              <a:off x="13652500" y="787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J" refreshedDate="46042.858733217596" createdVersion="8" refreshedVersion="8" minRefreshableVersion="3" recordCount="36" xr:uid="{A3531B24-258E-3342-9643-EFC69463F54B}">
  <cacheSource type="worksheet">
    <worksheetSource name="provider_panel"/>
  </cacheSource>
  <cacheFields count="10">
    <cacheField name="provider_id" numFmtId="0">
      <sharedItems count="12">
        <s v="P001"/>
        <s v="P002"/>
        <s v="P003"/>
        <s v="P004"/>
        <s v="P005"/>
        <s v="P006"/>
        <s v="P007"/>
        <s v="P008"/>
        <s v="P009"/>
        <s v="P010"/>
        <s v="P011"/>
        <s v="P012"/>
      </sharedItems>
    </cacheField>
    <cacheField name="provider_name" numFmtId="0">
      <sharedItems count="12">
        <s v="Provider 1"/>
        <s v="Provider 2"/>
        <s v="Provider 3"/>
        <s v="Provider 4"/>
        <s v="Provider 5"/>
        <s v="Provider 6"/>
        <s v="Provider 7"/>
        <s v="Provider 8"/>
        <s v="Provider 9"/>
        <s v="Provider 10"/>
        <s v="Provider 11"/>
        <s v="Provider 12"/>
      </sharedItems>
    </cacheField>
    <cacheField name="clinic" numFmtId="0">
      <sharedItems/>
    </cacheField>
    <cacheField name="drug_class" numFmtId="0">
      <sharedItems count="3">
        <s v="diabetes"/>
        <s v="htn"/>
        <s v="statin"/>
      </sharedItems>
    </cacheField>
    <cacheField name="patients_in_class" numFmtId="0">
      <sharedItems containsSemiMixedTypes="0" containsString="0" containsNumber="1" containsInteger="1" minValue="3" maxValue="19"/>
    </cacheField>
    <cacheField name="pct_adherent" numFmtId="0">
      <sharedItems containsSemiMixedTypes="0" containsString="0" containsNumber="1" minValue="12.5" maxValue="83.3"/>
    </cacheField>
    <cacheField name="pct_adherent_helper" numFmtId="166">
      <sharedItems containsSemiMixedTypes="0" containsString="0" containsNumber="1" minValue="0.125" maxValue="0.83299999999999996"/>
    </cacheField>
    <cacheField name="pct_high_risk" numFmtId="0">
      <sharedItems containsSemiMixedTypes="0" containsString="0" containsNumber="1" minValue="0" maxValue="42.9"/>
    </cacheField>
    <cacheField name="pct_high_risk_helper" numFmtId="166">
      <sharedItems containsSemiMixedTypes="0" containsString="0" containsNumber="1" minValue="0" maxValue="0.42899999999999999"/>
    </cacheField>
    <cacheField name="avg_pdc" numFmtId="0">
      <sharedItems containsSemiMixedTypes="0" containsString="0" containsNumber="1" minValue="0.63700000000000001" maxValue="0.91600000000000004"/>
    </cacheField>
  </cacheFields>
  <extLst>
    <ext xmlns:x14="http://schemas.microsoft.com/office/spreadsheetml/2009/9/main" uri="{725AE2AE-9491-48be-B2B4-4EB974FC3084}">
      <x14:pivotCacheDefinition pivotCacheId="7847886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J" refreshedDate="46042.887466782406" createdVersion="8" refreshedVersion="8" minRefreshableVersion="3" recordCount="307" xr:uid="{5261FE55-337F-954C-8917-87DA8F012C00}">
  <cacheSource type="worksheet">
    <worksheetSource name="pdc_results"/>
  </cacheSource>
  <cacheFields count="6">
    <cacheField name="patient_id" numFmtId="0">
      <sharedItems/>
    </cacheField>
    <cacheField name="drug_class" numFmtId="0">
      <sharedItems count="3">
        <s v="htn"/>
        <s v="statin"/>
        <s v="diabetes"/>
      </sharedItems>
    </cacheField>
    <cacheField name="covered_days" numFmtId="0">
      <sharedItems containsSemiMixedTypes="0" containsString="0" containsNumber="1" containsInteger="1" minValue="30" maxValue="188"/>
    </cacheField>
    <cacheField name="period_days" numFmtId="0">
      <sharedItems containsSemiMixedTypes="0" containsString="0" containsNumber="1" containsInteger="1" minValue="184" maxValue="184"/>
    </cacheField>
    <cacheField name="pdc" numFmtId="0">
      <sharedItems containsSemiMixedTypes="0" containsString="0" containsNumber="1" minValue="0.16300000000000001" maxValue="1.022"/>
    </cacheField>
    <cacheField name="risk_band" numFmtId="0">
      <sharedItems count="3">
        <s v="High Risk"/>
        <s v="Moderate Risk"/>
        <s v="Adheren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J" refreshedDate="46042.909518402776" createdVersion="8" refreshedVersion="8" minRefreshableVersion="3" recordCount="61" xr:uid="{F990CF35-05EA-1C42-8CBC-AA51D668B02A}">
  <cacheSource type="worksheet">
    <worksheetSource name="DATA_HIGH_RISK"/>
  </cacheSource>
  <cacheFields count="9">
    <cacheField name="provider_id" numFmtId="0">
      <sharedItems count="12">
        <s v="P001"/>
        <s v="P011"/>
        <s v="P010"/>
        <s v="P007"/>
        <s v="P012"/>
        <s v="P005"/>
        <s v="P006"/>
        <s v="P002"/>
        <s v="P009"/>
        <s v="P004"/>
        <s v="P008"/>
        <s v="P003"/>
      </sharedItems>
    </cacheField>
    <cacheField name="provider_name" numFmtId="0">
      <sharedItems count="12">
        <s v="Provider 1"/>
        <s v="Provider 11"/>
        <s v="Provider 10"/>
        <s v="Provider 7"/>
        <s v="Provider 12"/>
        <s v="Provider 5"/>
        <s v="Provider 6"/>
        <s v="Provider 2"/>
        <s v="Provider 9"/>
        <s v="Provider 4"/>
        <s v="Provider 8"/>
        <s v="Provider 3"/>
      </sharedItems>
    </cacheField>
    <cacheField name="clinic" numFmtId="0">
      <sharedItems/>
    </cacheField>
    <cacheField name="patient_id" numFmtId="0">
      <sharedItems/>
    </cacheField>
    <cacheField name="drug_class" numFmtId="0">
      <sharedItems count="3">
        <s v="htn"/>
        <s v="diabetes"/>
        <s v="statin"/>
      </sharedItems>
    </cacheField>
    <cacheField name="pdc" numFmtId="0">
      <sharedItems containsSemiMixedTypes="0" containsString="0" containsNumber="1" minValue="0.16300000000000001" maxValue="0.59199999999999997"/>
    </cacheField>
    <cacheField name="last_fill_date" numFmtId="14">
      <sharedItems containsSemiMixedTypes="0" containsNonDate="0" containsDate="1" containsString="0" minDate="2025-07-04T00:00:00" maxDate="2025-12-31T00:00:00"/>
    </cacheField>
    <cacheField name="estimated_runout_date" numFmtId="14">
      <sharedItems containsSemiMixedTypes="0" containsNonDate="0" containsDate="1" containsString="0" minDate="2025-08-06T00:00:00" maxDate="2026-01-29T00:00:00"/>
    </cacheField>
    <cacheField name="days_since_runout_by_period_end" numFmtId="0">
      <sharedItems containsSemiMixedTypes="0" containsString="0" containsNumber="1" containsInteger="1" minValue="-28" maxValue="1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s v="OC Family Medicine"/>
    <x v="0"/>
    <n v="13"/>
    <n v="53.8"/>
    <n v="0.53799999999999992"/>
    <n v="23.1"/>
    <n v="0.23100000000000001"/>
    <n v="0.78400000000000003"/>
  </r>
  <r>
    <x v="0"/>
    <x v="0"/>
    <s v="OC Family Medicine"/>
    <x v="1"/>
    <n v="13"/>
    <n v="53.8"/>
    <n v="0.53799999999999992"/>
    <n v="23.1"/>
    <n v="0.23100000000000001"/>
    <n v="0.76100000000000001"/>
  </r>
  <r>
    <x v="0"/>
    <x v="0"/>
    <s v="OC Family Medicine"/>
    <x v="2"/>
    <n v="9"/>
    <n v="55.6"/>
    <n v="0.55600000000000005"/>
    <n v="0"/>
    <n v="0"/>
    <n v="0.84099999999999997"/>
  </r>
  <r>
    <x v="1"/>
    <x v="1"/>
    <s v="OC Family Medicine"/>
    <x v="0"/>
    <n v="9"/>
    <n v="33.299999999999997"/>
    <n v="0.33299999999999996"/>
    <n v="22.2"/>
    <n v="0.222"/>
    <n v="0.73399999999999999"/>
  </r>
  <r>
    <x v="1"/>
    <x v="1"/>
    <s v="OC Family Medicine"/>
    <x v="1"/>
    <n v="8"/>
    <n v="37.5"/>
    <n v="0.375"/>
    <n v="12.5"/>
    <n v="0.125"/>
    <n v="0.75800000000000001"/>
  </r>
  <r>
    <x v="1"/>
    <x v="1"/>
    <s v="OC Family Medicine"/>
    <x v="2"/>
    <n v="7"/>
    <n v="57.1"/>
    <n v="0.57100000000000006"/>
    <n v="14.3"/>
    <n v="0.14300000000000002"/>
    <n v="0.77800000000000002"/>
  </r>
  <r>
    <x v="2"/>
    <x v="2"/>
    <s v="Harbor Endocrine"/>
    <x v="0"/>
    <n v="6"/>
    <n v="83.3"/>
    <n v="0.83299999999999996"/>
    <n v="0"/>
    <n v="0"/>
    <n v="0.91600000000000004"/>
  </r>
  <r>
    <x v="2"/>
    <x v="2"/>
    <s v="Harbor Endocrine"/>
    <x v="1"/>
    <n v="5"/>
    <n v="80"/>
    <n v="0.8"/>
    <n v="20"/>
    <n v="0.2"/>
    <n v="0.81599999999999995"/>
  </r>
  <r>
    <x v="2"/>
    <x v="2"/>
    <s v="Harbor Endocrine"/>
    <x v="2"/>
    <n v="6"/>
    <n v="83.3"/>
    <n v="0.83299999999999996"/>
    <n v="16.7"/>
    <n v="0.16699999999999998"/>
    <n v="0.874"/>
  </r>
  <r>
    <x v="3"/>
    <x v="3"/>
    <s v="Coastal Internal Med"/>
    <x v="0"/>
    <n v="8"/>
    <n v="62.5"/>
    <n v="0.625"/>
    <n v="12.5"/>
    <n v="0.125"/>
    <n v="0.81399999999999995"/>
  </r>
  <r>
    <x v="3"/>
    <x v="3"/>
    <s v="Coastal Internal Med"/>
    <x v="1"/>
    <n v="6"/>
    <n v="33.299999999999997"/>
    <n v="0.33299999999999996"/>
    <n v="16.7"/>
    <n v="0.16699999999999998"/>
    <n v="0.71899999999999997"/>
  </r>
  <r>
    <x v="3"/>
    <x v="3"/>
    <s v="Coastal Internal Med"/>
    <x v="2"/>
    <n v="12"/>
    <n v="66.7"/>
    <n v="0.66700000000000004"/>
    <n v="8.3000000000000007"/>
    <n v="8.3000000000000004E-2"/>
    <n v="0.82799999999999996"/>
  </r>
  <r>
    <x v="4"/>
    <x v="4"/>
    <s v="Coastal Internal Med"/>
    <x v="0"/>
    <n v="3"/>
    <n v="66.7"/>
    <n v="0.66700000000000004"/>
    <n v="0"/>
    <n v="0"/>
    <n v="0.81299999999999994"/>
  </r>
  <r>
    <x v="4"/>
    <x v="4"/>
    <s v="Coastal Internal Med"/>
    <x v="1"/>
    <n v="10"/>
    <n v="50"/>
    <n v="0.5"/>
    <n v="20"/>
    <n v="0.2"/>
    <n v="0.77700000000000002"/>
  </r>
  <r>
    <x v="4"/>
    <x v="4"/>
    <s v="Coastal Internal Med"/>
    <x v="2"/>
    <n v="9"/>
    <n v="77.8"/>
    <n v="0.77800000000000002"/>
    <n v="11.1"/>
    <n v="0.111"/>
    <n v="0.83799999999999997"/>
  </r>
  <r>
    <x v="5"/>
    <x v="5"/>
    <s v="Coastal Internal Med"/>
    <x v="0"/>
    <n v="5"/>
    <n v="60"/>
    <n v="0.6"/>
    <n v="40"/>
    <n v="0.4"/>
    <n v="0.70099999999999996"/>
  </r>
  <r>
    <x v="5"/>
    <x v="5"/>
    <s v="Coastal Internal Med"/>
    <x v="1"/>
    <n v="4"/>
    <n v="50"/>
    <n v="0.5"/>
    <n v="0"/>
    <n v="0"/>
    <n v="0.82099999999999995"/>
  </r>
  <r>
    <x v="5"/>
    <x v="5"/>
    <s v="Coastal Internal Med"/>
    <x v="2"/>
    <n v="5"/>
    <n v="40"/>
    <n v="0.4"/>
    <n v="40"/>
    <n v="0.4"/>
    <n v="0.73799999999999999"/>
  </r>
  <r>
    <x v="6"/>
    <x v="6"/>
    <s v="OC Family Medicine"/>
    <x v="0"/>
    <n v="19"/>
    <n v="52.6"/>
    <n v="0.52600000000000002"/>
    <n v="26.3"/>
    <n v="0.26300000000000001"/>
    <n v="0.76300000000000001"/>
  </r>
  <r>
    <x v="6"/>
    <x v="6"/>
    <s v="OC Family Medicine"/>
    <x v="1"/>
    <n v="18"/>
    <n v="33.299999999999997"/>
    <n v="0.33299999999999996"/>
    <n v="38.9"/>
    <n v="0.38900000000000001"/>
    <n v="0.67500000000000004"/>
  </r>
  <r>
    <x v="6"/>
    <x v="6"/>
    <s v="OC Family Medicine"/>
    <x v="2"/>
    <n v="10"/>
    <n v="70"/>
    <n v="0.7"/>
    <n v="0"/>
    <n v="0"/>
    <n v="0.86899999999999999"/>
  </r>
  <r>
    <x v="7"/>
    <x v="7"/>
    <s v="OC Family Medicine"/>
    <x v="0"/>
    <n v="10"/>
    <n v="40"/>
    <n v="0.4"/>
    <n v="20"/>
    <n v="0.2"/>
    <n v="0.72399999999999998"/>
  </r>
  <r>
    <x v="7"/>
    <x v="7"/>
    <s v="OC Family Medicine"/>
    <x v="1"/>
    <n v="10"/>
    <n v="70"/>
    <n v="0.7"/>
    <n v="10"/>
    <n v="0.1"/>
    <n v="0.83699999999999997"/>
  </r>
  <r>
    <x v="7"/>
    <x v="7"/>
    <s v="OC Family Medicine"/>
    <x v="2"/>
    <n v="5"/>
    <n v="20"/>
    <n v="0.2"/>
    <n v="20"/>
    <n v="0.2"/>
    <n v="0.71299999999999997"/>
  </r>
  <r>
    <x v="8"/>
    <x v="8"/>
    <s v="Sunset Cardiology"/>
    <x v="0"/>
    <n v="8"/>
    <n v="12.5"/>
    <n v="0.125"/>
    <n v="37.5"/>
    <n v="0.375"/>
    <n v="0.63700000000000001"/>
  </r>
  <r>
    <x v="8"/>
    <x v="8"/>
    <s v="Sunset Cardiology"/>
    <x v="1"/>
    <n v="8"/>
    <n v="25"/>
    <n v="0.25"/>
    <n v="12.5"/>
    <n v="0.125"/>
    <n v="0.755"/>
  </r>
  <r>
    <x v="8"/>
    <x v="8"/>
    <s v="Sunset Cardiology"/>
    <x v="2"/>
    <n v="6"/>
    <n v="66.7"/>
    <n v="0.66700000000000004"/>
    <n v="0"/>
    <n v="0"/>
    <n v="0.82499999999999996"/>
  </r>
  <r>
    <x v="9"/>
    <x v="9"/>
    <s v="OC Family Medicine"/>
    <x v="0"/>
    <n v="10"/>
    <n v="70"/>
    <n v="0.7"/>
    <n v="0"/>
    <n v="0"/>
    <n v="0.879"/>
  </r>
  <r>
    <x v="9"/>
    <x v="9"/>
    <s v="OC Family Medicine"/>
    <x v="1"/>
    <n v="7"/>
    <n v="57.1"/>
    <n v="0.57100000000000006"/>
    <n v="28.6"/>
    <n v="0.28600000000000003"/>
    <n v="0.73799999999999999"/>
  </r>
  <r>
    <x v="9"/>
    <x v="9"/>
    <s v="OC Family Medicine"/>
    <x v="2"/>
    <n v="7"/>
    <n v="57.1"/>
    <n v="0.57100000000000006"/>
    <n v="42.9"/>
    <n v="0.42899999999999999"/>
    <n v="0.71699999999999997"/>
  </r>
  <r>
    <x v="10"/>
    <x v="10"/>
    <s v="OC Family Medicine"/>
    <x v="0"/>
    <n v="9"/>
    <n v="55.6"/>
    <n v="0.55600000000000005"/>
    <n v="33.299999999999997"/>
    <n v="0.33299999999999996"/>
    <n v="0.68899999999999995"/>
  </r>
  <r>
    <x v="10"/>
    <x v="10"/>
    <s v="OC Family Medicine"/>
    <x v="1"/>
    <n v="13"/>
    <n v="53.8"/>
    <n v="0.53799999999999992"/>
    <n v="38.5"/>
    <n v="0.38500000000000001"/>
    <n v="0.71499999999999997"/>
  </r>
  <r>
    <x v="10"/>
    <x v="10"/>
    <s v="OC Family Medicine"/>
    <x v="2"/>
    <n v="8"/>
    <n v="50"/>
    <n v="0.5"/>
    <n v="25"/>
    <n v="0.25"/>
    <n v="0.77900000000000003"/>
  </r>
  <r>
    <x v="11"/>
    <x v="11"/>
    <s v="OC Family Medicine"/>
    <x v="0"/>
    <n v="7"/>
    <n v="57.1"/>
    <n v="0.57100000000000006"/>
    <n v="0"/>
    <n v="0"/>
    <n v="0.85099999999999998"/>
  </r>
  <r>
    <x v="11"/>
    <x v="11"/>
    <s v="OC Family Medicine"/>
    <x v="1"/>
    <n v="6"/>
    <n v="66.7"/>
    <n v="0.66700000000000004"/>
    <n v="16.7"/>
    <n v="0.16699999999999998"/>
    <n v="0.79300000000000004"/>
  </r>
  <r>
    <x v="11"/>
    <x v="11"/>
    <s v="OC Family Medicine"/>
    <x v="2"/>
    <n v="8"/>
    <n v="25"/>
    <n v="0.25"/>
    <n v="37.5"/>
    <n v="0.375"/>
    <n v="0.65700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s v="PT00034"/>
    <x v="0"/>
    <n v="30"/>
    <n v="184"/>
    <n v="0.16300000000000001"/>
    <x v="0"/>
  </r>
  <r>
    <s v="PT00038"/>
    <x v="1"/>
    <n v="30"/>
    <n v="184"/>
    <n v="0.16300000000000001"/>
    <x v="0"/>
  </r>
  <r>
    <s v="PT00090"/>
    <x v="2"/>
    <n v="30"/>
    <n v="184"/>
    <n v="0.16300000000000001"/>
    <x v="0"/>
  </r>
  <r>
    <s v="PT00007"/>
    <x v="2"/>
    <n v="60"/>
    <n v="184"/>
    <n v="0.32600000000000001"/>
    <x v="0"/>
  </r>
  <r>
    <s v="PT00048"/>
    <x v="0"/>
    <n v="60"/>
    <n v="184"/>
    <n v="0.32600000000000001"/>
    <x v="0"/>
  </r>
  <r>
    <s v="PT00083"/>
    <x v="0"/>
    <n v="60"/>
    <n v="184"/>
    <n v="0.32600000000000001"/>
    <x v="0"/>
  </r>
  <r>
    <s v="PT00102"/>
    <x v="1"/>
    <n v="60"/>
    <n v="184"/>
    <n v="0.32600000000000001"/>
    <x v="0"/>
  </r>
  <r>
    <s v="PT00104"/>
    <x v="0"/>
    <n v="60"/>
    <n v="184"/>
    <n v="0.32600000000000001"/>
    <x v="0"/>
  </r>
  <r>
    <s v="PT00130"/>
    <x v="1"/>
    <n v="60"/>
    <n v="184"/>
    <n v="0.32600000000000001"/>
    <x v="0"/>
  </r>
  <r>
    <s v="PT00141"/>
    <x v="2"/>
    <n v="79"/>
    <n v="184"/>
    <n v="0.42899999999999999"/>
    <x v="0"/>
  </r>
  <r>
    <s v="PT00053"/>
    <x v="0"/>
    <n v="86"/>
    <n v="184"/>
    <n v="0.46700000000000003"/>
    <x v="0"/>
  </r>
  <r>
    <s v="PT00129"/>
    <x v="2"/>
    <n v="88"/>
    <n v="184"/>
    <n v="0.47799999999999998"/>
    <x v="0"/>
  </r>
  <r>
    <s v="PT00004"/>
    <x v="2"/>
    <n v="90"/>
    <n v="184"/>
    <n v="0.48899999999999999"/>
    <x v="0"/>
  </r>
  <r>
    <s v="PT00004"/>
    <x v="1"/>
    <n v="90"/>
    <n v="184"/>
    <n v="0.48899999999999999"/>
    <x v="0"/>
  </r>
  <r>
    <s v="PT00012"/>
    <x v="1"/>
    <n v="90"/>
    <n v="184"/>
    <n v="0.48899999999999999"/>
    <x v="0"/>
  </r>
  <r>
    <s v="PT00014"/>
    <x v="0"/>
    <n v="90"/>
    <n v="184"/>
    <n v="0.48899999999999999"/>
    <x v="0"/>
  </r>
  <r>
    <s v="PT00015"/>
    <x v="2"/>
    <n v="90"/>
    <n v="184"/>
    <n v="0.48899999999999999"/>
    <x v="0"/>
  </r>
  <r>
    <s v="PT00017"/>
    <x v="0"/>
    <n v="90"/>
    <n v="184"/>
    <n v="0.48899999999999999"/>
    <x v="0"/>
  </r>
  <r>
    <s v="PT00023"/>
    <x v="0"/>
    <n v="90"/>
    <n v="184"/>
    <n v="0.48899999999999999"/>
    <x v="0"/>
  </r>
  <r>
    <s v="PT00030"/>
    <x v="0"/>
    <n v="90"/>
    <n v="184"/>
    <n v="0.48899999999999999"/>
    <x v="0"/>
  </r>
  <r>
    <s v="PT00036"/>
    <x v="0"/>
    <n v="90"/>
    <n v="184"/>
    <n v="0.48899999999999999"/>
    <x v="0"/>
  </r>
  <r>
    <s v="PT00037"/>
    <x v="2"/>
    <n v="90"/>
    <n v="184"/>
    <n v="0.48899999999999999"/>
    <x v="0"/>
  </r>
  <r>
    <s v="PT00039"/>
    <x v="0"/>
    <n v="90"/>
    <n v="184"/>
    <n v="0.48899999999999999"/>
    <x v="0"/>
  </r>
  <r>
    <s v="PT00044"/>
    <x v="2"/>
    <n v="90"/>
    <n v="184"/>
    <n v="0.48899999999999999"/>
    <x v="0"/>
  </r>
  <r>
    <s v="PT00047"/>
    <x v="0"/>
    <n v="90"/>
    <n v="184"/>
    <n v="0.48899999999999999"/>
    <x v="0"/>
  </r>
  <r>
    <s v="PT00054"/>
    <x v="2"/>
    <n v="90"/>
    <n v="184"/>
    <n v="0.48899999999999999"/>
    <x v="0"/>
  </r>
  <r>
    <s v="PT00075"/>
    <x v="0"/>
    <n v="90"/>
    <n v="184"/>
    <n v="0.48899999999999999"/>
    <x v="0"/>
  </r>
  <r>
    <s v="PT00081"/>
    <x v="0"/>
    <n v="90"/>
    <n v="184"/>
    <n v="0.48899999999999999"/>
    <x v="0"/>
  </r>
  <r>
    <s v="PT00082"/>
    <x v="2"/>
    <n v="90"/>
    <n v="184"/>
    <n v="0.48899999999999999"/>
    <x v="0"/>
  </r>
  <r>
    <s v="PT00086"/>
    <x v="0"/>
    <n v="90"/>
    <n v="184"/>
    <n v="0.48899999999999999"/>
    <x v="0"/>
  </r>
  <r>
    <s v="PT00089"/>
    <x v="2"/>
    <n v="90"/>
    <n v="184"/>
    <n v="0.48899999999999999"/>
    <x v="0"/>
  </r>
  <r>
    <s v="PT00093"/>
    <x v="2"/>
    <n v="90"/>
    <n v="184"/>
    <n v="0.48899999999999999"/>
    <x v="0"/>
  </r>
  <r>
    <s v="PT00098"/>
    <x v="1"/>
    <n v="90"/>
    <n v="184"/>
    <n v="0.48899999999999999"/>
    <x v="0"/>
  </r>
  <r>
    <s v="PT00107"/>
    <x v="0"/>
    <n v="90"/>
    <n v="184"/>
    <n v="0.48899999999999999"/>
    <x v="0"/>
  </r>
  <r>
    <s v="PT00113"/>
    <x v="0"/>
    <n v="90"/>
    <n v="184"/>
    <n v="0.48899999999999999"/>
    <x v="0"/>
  </r>
  <r>
    <s v="PT00114"/>
    <x v="0"/>
    <n v="90"/>
    <n v="184"/>
    <n v="0.48899999999999999"/>
    <x v="0"/>
  </r>
  <r>
    <s v="PT00124"/>
    <x v="0"/>
    <n v="90"/>
    <n v="184"/>
    <n v="0.48899999999999999"/>
    <x v="0"/>
  </r>
  <r>
    <s v="PT00126"/>
    <x v="0"/>
    <n v="90"/>
    <n v="184"/>
    <n v="0.48899999999999999"/>
    <x v="0"/>
  </r>
  <r>
    <s v="PT00138"/>
    <x v="2"/>
    <n v="90"/>
    <n v="184"/>
    <n v="0.48899999999999999"/>
    <x v="0"/>
  </r>
  <r>
    <s v="PT00144"/>
    <x v="1"/>
    <n v="90"/>
    <n v="184"/>
    <n v="0.48899999999999999"/>
    <x v="0"/>
  </r>
  <r>
    <s v="PT00159"/>
    <x v="1"/>
    <n v="90"/>
    <n v="184"/>
    <n v="0.48899999999999999"/>
    <x v="0"/>
  </r>
  <r>
    <s v="PT00056"/>
    <x v="1"/>
    <n v="92"/>
    <n v="184"/>
    <n v="0.5"/>
    <x v="0"/>
  </r>
  <r>
    <s v="PT00116"/>
    <x v="2"/>
    <n v="92"/>
    <n v="184"/>
    <n v="0.5"/>
    <x v="0"/>
  </r>
  <r>
    <s v="PT00126"/>
    <x v="1"/>
    <n v="93"/>
    <n v="184"/>
    <n v="0.505"/>
    <x v="0"/>
  </r>
  <r>
    <s v="PT00117"/>
    <x v="0"/>
    <n v="94"/>
    <n v="184"/>
    <n v="0.51100000000000001"/>
    <x v="0"/>
  </r>
  <r>
    <s v="PT00062"/>
    <x v="0"/>
    <n v="95"/>
    <n v="184"/>
    <n v="0.51600000000000001"/>
    <x v="0"/>
  </r>
  <r>
    <s v="PT00114"/>
    <x v="2"/>
    <n v="95"/>
    <n v="184"/>
    <n v="0.51600000000000001"/>
    <x v="0"/>
  </r>
  <r>
    <s v="PT00020"/>
    <x v="2"/>
    <n v="96"/>
    <n v="184"/>
    <n v="0.52200000000000002"/>
    <x v="0"/>
  </r>
  <r>
    <s v="PT00018"/>
    <x v="1"/>
    <n v="97"/>
    <n v="184"/>
    <n v="0.52700000000000002"/>
    <x v="0"/>
  </r>
  <r>
    <s v="PT00107"/>
    <x v="2"/>
    <n v="97"/>
    <n v="184"/>
    <n v="0.52700000000000002"/>
    <x v="0"/>
  </r>
  <r>
    <s v="PT00143"/>
    <x v="1"/>
    <n v="99"/>
    <n v="184"/>
    <n v="0.53800000000000003"/>
    <x v="0"/>
  </r>
  <r>
    <s v="PT00065"/>
    <x v="2"/>
    <n v="100"/>
    <n v="184"/>
    <n v="0.54300000000000004"/>
    <x v="0"/>
  </r>
  <r>
    <s v="PT00096"/>
    <x v="2"/>
    <n v="101"/>
    <n v="184"/>
    <n v="0.54900000000000004"/>
    <x v="0"/>
  </r>
  <r>
    <s v="PT00105"/>
    <x v="2"/>
    <n v="101"/>
    <n v="184"/>
    <n v="0.54900000000000004"/>
    <x v="0"/>
  </r>
  <r>
    <s v="PT00025"/>
    <x v="0"/>
    <n v="102"/>
    <n v="184"/>
    <n v="0.55400000000000005"/>
    <x v="0"/>
  </r>
  <r>
    <s v="PT00097"/>
    <x v="1"/>
    <n v="103"/>
    <n v="184"/>
    <n v="0.56000000000000005"/>
    <x v="0"/>
  </r>
  <r>
    <s v="PT00065"/>
    <x v="0"/>
    <n v="104"/>
    <n v="184"/>
    <n v="0.56499999999999995"/>
    <x v="0"/>
  </r>
  <r>
    <s v="PT00003"/>
    <x v="1"/>
    <n v="105"/>
    <n v="184"/>
    <n v="0.57099999999999995"/>
    <x v="0"/>
  </r>
  <r>
    <s v="PT00081"/>
    <x v="1"/>
    <n v="106"/>
    <n v="184"/>
    <n v="0.57599999999999996"/>
    <x v="0"/>
  </r>
  <r>
    <s v="PT00131"/>
    <x v="2"/>
    <n v="106"/>
    <n v="184"/>
    <n v="0.57599999999999996"/>
    <x v="0"/>
  </r>
  <r>
    <s v="PT00044"/>
    <x v="0"/>
    <n v="109"/>
    <n v="184"/>
    <n v="0.59199999999999997"/>
    <x v="0"/>
  </r>
  <r>
    <s v="PT00001"/>
    <x v="1"/>
    <n v="114"/>
    <n v="184"/>
    <n v="0.62"/>
    <x v="1"/>
  </r>
  <r>
    <s v="PT00006"/>
    <x v="2"/>
    <n v="118"/>
    <n v="184"/>
    <n v="0.64100000000000001"/>
    <x v="1"/>
  </r>
  <r>
    <s v="PT00012"/>
    <x v="2"/>
    <n v="119"/>
    <n v="184"/>
    <n v="0.64700000000000002"/>
    <x v="1"/>
  </r>
  <r>
    <s v="PT00009"/>
    <x v="0"/>
    <n v="120"/>
    <n v="184"/>
    <n v="0.65200000000000002"/>
    <x v="1"/>
  </r>
  <r>
    <s v="PT00010"/>
    <x v="0"/>
    <n v="120"/>
    <n v="184"/>
    <n v="0.65200000000000002"/>
    <x v="1"/>
  </r>
  <r>
    <s v="PT00013"/>
    <x v="1"/>
    <n v="120"/>
    <n v="184"/>
    <n v="0.65200000000000002"/>
    <x v="1"/>
  </r>
  <r>
    <s v="PT00026"/>
    <x v="2"/>
    <n v="120"/>
    <n v="184"/>
    <n v="0.65200000000000002"/>
    <x v="1"/>
  </r>
  <r>
    <s v="PT00052"/>
    <x v="0"/>
    <n v="120"/>
    <n v="184"/>
    <n v="0.65200000000000002"/>
    <x v="1"/>
  </r>
  <r>
    <s v="PT00053"/>
    <x v="2"/>
    <n v="120"/>
    <n v="184"/>
    <n v="0.65200000000000002"/>
    <x v="1"/>
  </r>
  <r>
    <s v="PT00053"/>
    <x v="1"/>
    <n v="120"/>
    <n v="184"/>
    <n v="0.65200000000000002"/>
    <x v="1"/>
  </r>
  <r>
    <s v="PT00054"/>
    <x v="0"/>
    <n v="120"/>
    <n v="184"/>
    <n v="0.65200000000000002"/>
    <x v="1"/>
  </r>
  <r>
    <s v="PT00068"/>
    <x v="2"/>
    <n v="120"/>
    <n v="184"/>
    <n v="0.65200000000000002"/>
    <x v="1"/>
  </r>
  <r>
    <s v="PT00068"/>
    <x v="1"/>
    <n v="120"/>
    <n v="184"/>
    <n v="0.65200000000000002"/>
    <x v="1"/>
  </r>
  <r>
    <s v="PT00074"/>
    <x v="2"/>
    <n v="120"/>
    <n v="184"/>
    <n v="0.65200000000000002"/>
    <x v="1"/>
  </r>
  <r>
    <s v="PT00074"/>
    <x v="0"/>
    <n v="120"/>
    <n v="184"/>
    <n v="0.65200000000000002"/>
    <x v="1"/>
  </r>
  <r>
    <s v="PT00075"/>
    <x v="1"/>
    <n v="120"/>
    <n v="184"/>
    <n v="0.65200000000000002"/>
    <x v="1"/>
  </r>
  <r>
    <s v="PT00097"/>
    <x v="0"/>
    <n v="120"/>
    <n v="184"/>
    <n v="0.65200000000000002"/>
    <x v="1"/>
  </r>
  <r>
    <s v="PT00120"/>
    <x v="1"/>
    <n v="120"/>
    <n v="184"/>
    <n v="0.65200000000000002"/>
    <x v="1"/>
  </r>
  <r>
    <s v="PT00125"/>
    <x v="0"/>
    <n v="120"/>
    <n v="184"/>
    <n v="0.65200000000000002"/>
    <x v="1"/>
  </r>
  <r>
    <s v="PT00134"/>
    <x v="2"/>
    <n v="120"/>
    <n v="184"/>
    <n v="0.65200000000000002"/>
    <x v="1"/>
  </r>
  <r>
    <s v="PT00134"/>
    <x v="1"/>
    <n v="120"/>
    <n v="184"/>
    <n v="0.65200000000000002"/>
    <x v="1"/>
  </r>
  <r>
    <s v="PT00136"/>
    <x v="0"/>
    <n v="120"/>
    <n v="184"/>
    <n v="0.65200000000000002"/>
    <x v="1"/>
  </r>
  <r>
    <s v="PT00136"/>
    <x v="1"/>
    <n v="120"/>
    <n v="184"/>
    <n v="0.65200000000000002"/>
    <x v="1"/>
  </r>
  <r>
    <s v="PT00137"/>
    <x v="2"/>
    <n v="120"/>
    <n v="184"/>
    <n v="0.65200000000000002"/>
    <x v="1"/>
  </r>
  <r>
    <s v="PT00147"/>
    <x v="1"/>
    <n v="120"/>
    <n v="184"/>
    <n v="0.65200000000000002"/>
    <x v="1"/>
  </r>
  <r>
    <s v="PT00154"/>
    <x v="0"/>
    <n v="120"/>
    <n v="184"/>
    <n v="0.65200000000000002"/>
    <x v="1"/>
  </r>
  <r>
    <s v="PT00049"/>
    <x v="2"/>
    <n v="122"/>
    <n v="184"/>
    <n v="0.66300000000000003"/>
    <x v="1"/>
  </r>
  <r>
    <s v="PT00144"/>
    <x v="0"/>
    <n v="122"/>
    <n v="184"/>
    <n v="0.66300000000000003"/>
    <x v="1"/>
  </r>
  <r>
    <s v="PT00028"/>
    <x v="2"/>
    <n v="123"/>
    <n v="184"/>
    <n v="0.66800000000000004"/>
    <x v="1"/>
  </r>
  <r>
    <s v="PT00083"/>
    <x v="2"/>
    <n v="123"/>
    <n v="184"/>
    <n v="0.66800000000000004"/>
    <x v="1"/>
  </r>
  <r>
    <s v="PT00093"/>
    <x v="0"/>
    <n v="123"/>
    <n v="184"/>
    <n v="0.66800000000000004"/>
    <x v="1"/>
  </r>
  <r>
    <s v="PT00105"/>
    <x v="1"/>
    <n v="123"/>
    <n v="184"/>
    <n v="0.66800000000000004"/>
    <x v="1"/>
  </r>
  <r>
    <s v="PT00089"/>
    <x v="1"/>
    <n v="124"/>
    <n v="184"/>
    <n v="0.67400000000000004"/>
    <x v="1"/>
  </r>
  <r>
    <s v="PT00128"/>
    <x v="0"/>
    <n v="124"/>
    <n v="184"/>
    <n v="0.67400000000000004"/>
    <x v="1"/>
  </r>
  <r>
    <s v="PT00160"/>
    <x v="0"/>
    <n v="124"/>
    <n v="184"/>
    <n v="0.67400000000000004"/>
    <x v="1"/>
  </r>
  <r>
    <s v="PT00155"/>
    <x v="1"/>
    <n v="125"/>
    <n v="184"/>
    <n v="0.67900000000000005"/>
    <x v="1"/>
  </r>
  <r>
    <s v="PT00092"/>
    <x v="0"/>
    <n v="127"/>
    <n v="184"/>
    <n v="0.69"/>
    <x v="1"/>
  </r>
  <r>
    <s v="PT00044"/>
    <x v="1"/>
    <n v="130"/>
    <n v="184"/>
    <n v="0.70699999999999996"/>
    <x v="1"/>
  </r>
  <r>
    <s v="PT00051"/>
    <x v="2"/>
    <n v="131"/>
    <n v="184"/>
    <n v="0.71199999999999997"/>
    <x v="1"/>
  </r>
  <r>
    <s v="PT00127"/>
    <x v="0"/>
    <n v="131"/>
    <n v="184"/>
    <n v="0.71199999999999997"/>
    <x v="1"/>
  </r>
  <r>
    <s v="PT00111"/>
    <x v="0"/>
    <n v="132"/>
    <n v="184"/>
    <n v="0.71699999999999997"/>
    <x v="1"/>
  </r>
  <r>
    <s v="PT00155"/>
    <x v="2"/>
    <n v="132"/>
    <n v="184"/>
    <n v="0.71699999999999997"/>
    <x v="1"/>
  </r>
  <r>
    <s v="PT00149"/>
    <x v="2"/>
    <n v="133"/>
    <n v="184"/>
    <n v="0.72299999999999998"/>
    <x v="1"/>
  </r>
  <r>
    <s v="PT00066"/>
    <x v="1"/>
    <n v="134"/>
    <n v="184"/>
    <n v="0.72799999999999998"/>
    <x v="1"/>
  </r>
  <r>
    <s v="PT00081"/>
    <x v="2"/>
    <n v="134"/>
    <n v="184"/>
    <n v="0.72799999999999998"/>
    <x v="1"/>
  </r>
  <r>
    <s v="PT00108"/>
    <x v="0"/>
    <n v="134"/>
    <n v="184"/>
    <n v="0.72799999999999998"/>
    <x v="1"/>
  </r>
  <r>
    <s v="PT00115"/>
    <x v="2"/>
    <n v="134"/>
    <n v="184"/>
    <n v="0.72799999999999998"/>
    <x v="1"/>
  </r>
  <r>
    <s v="PT00128"/>
    <x v="1"/>
    <n v="134"/>
    <n v="184"/>
    <n v="0.72799999999999998"/>
    <x v="1"/>
  </r>
  <r>
    <s v="PT00142"/>
    <x v="0"/>
    <n v="134"/>
    <n v="184"/>
    <n v="0.72799999999999998"/>
    <x v="1"/>
  </r>
  <r>
    <s v="PT00143"/>
    <x v="2"/>
    <n v="134"/>
    <n v="184"/>
    <n v="0.72799999999999998"/>
    <x v="1"/>
  </r>
  <r>
    <s v="PT00103"/>
    <x v="0"/>
    <n v="135"/>
    <n v="184"/>
    <n v="0.73399999999999999"/>
    <x v="1"/>
  </r>
  <r>
    <s v="PT00076"/>
    <x v="0"/>
    <n v="136"/>
    <n v="184"/>
    <n v="0.73899999999999999"/>
    <x v="1"/>
  </r>
  <r>
    <s v="PT00079"/>
    <x v="2"/>
    <n v="136"/>
    <n v="184"/>
    <n v="0.73899999999999999"/>
    <x v="1"/>
  </r>
  <r>
    <s v="PT00071"/>
    <x v="0"/>
    <n v="137"/>
    <n v="184"/>
    <n v="0.745"/>
    <x v="1"/>
  </r>
  <r>
    <s v="PT00100"/>
    <x v="1"/>
    <n v="137"/>
    <n v="184"/>
    <n v="0.745"/>
    <x v="1"/>
  </r>
  <r>
    <s v="PT00020"/>
    <x v="0"/>
    <n v="138"/>
    <n v="184"/>
    <n v="0.75"/>
    <x v="1"/>
  </r>
  <r>
    <s v="PT00029"/>
    <x v="2"/>
    <n v="138"/>
    <n v="184"/>
    <n v="0.75"/>
    <x v="1"/>
  </r>
  <r>
    <s v="PT00116"/>
    <x v="1"/>
    <n v="138"/>
    <n v="184"/>
    <n v="0.75"/>
    <x v="1"/>
  </r>
  <r>
    <s v="PT00122"/>
    <x v="1"/>
    <n v="138"/>
    <n v="184"/>
    <n v="0.75"/>
    <x v="1"/>
  </r>
  <r>
    <s v="PT00141"/>
    <x v="0"/>
    <n v="138"/>
    <n v="184"/>
    <n v="0.75"/>
    <x v="1"/>
  </r>
  <r>
    <s v="PT00058"/>
    <x v="0"/>
    <n v="139"/>
    <n v="184"/>
    <n v="0.755"/>
    <x v="1"/>
  </r>
  <r>
    <s v="PT00110"/>
    <x v="1"/>
    <n v="139"/>
    <n v="184"/>
    <n v="0.755"/>
    <x v="1"/>
  </r>
  <r>
    <s v="PT00018"/>
    <x v="2"/>
    <n v="140"/>
    <n v="184"/>
    <n v="0.76100000000000001"/>
    <x v="1"/>
  </r>
  <r>
    <s v="PT00028"/>
    <x v="0"/>
    <n v="140"/>
    <n v="184"/>
    <n v="0.76100000000000001"/>
    <x v="1"/>
  </r>
  <r>
    <s v="PT00042"/>
    <x v="2"/>
    <n v="140"/>
    <n v="184"/>
    <n v="0.76100000000000001"/>
    <x v="1"/>
  </r>
  <r>
    <s v="PT00046"/>
    <x v="1"/>
    <n v="140"/>
    <n v="184"/>
    <n v="0.76100000000000001"/>
    <x v="1"/>
  </r>
  <r>
    <s v="PT00139"/>
    <x v="2"/>
    <n v="140"/>
    <n v="184"/>
    <n v="0.76100000000000001"/>
    <x v="1"/>
  </r>
  <r>
    <s v="PT00017"/>
    <x v="2"/>
    <n v="141"/>
    <n v="184"/>
    <n v="0.76600000000000001"/>
    <x v="1"/>
  </r>
  <r>
    <s v="PT00142"/>
    <x v="2"/>
    <n v="141"/>
    <n v="184"/>
    <n v="0.76600000000000001"/>
    <x v="1"/>
  </r>
  <r>
    <s v="PT00051"/>
    <x v="0"/>
    <n v="142"/>
    <n v="184"/>
    <n v="0.77200000000000002"/>
    <x v="1"/>
  </r>
  <r>
    <s v="PT00056"/>
    <x v="0"/>
    <n v="142"/>
    <n v="184"/>
    <n v="0.77200000000000002"/>
    <x v="1"/>
  </r>
  <r>
    <s v="PT00123"/>
    <x v="2"/>
    <n v="142"/>
    <n v="184"/>
    <n v="0.77200000000000002"/>
    <x v="1"/>
  </r>
  <r>
    <s v="PT00150"/>
    <x v="2"/>
    <n v="143"/>
    <n v="184"/>
    <n v="0.77700000000000002"/>
    <x v="1"/>
  </r>
  <r>
    <s v="PT00035"/>
    <x v="2"/>
    <n v="144"/>
    <n v="184"/>
    <n v="0.78300000000000003"/>
    <x v="1"/>
  </r>
  <r>
    <s v="PT00054"/>
    <x v="1"/>
    <n v="144"/>
    <n v="184"/>
    <n v="0.78300000000000003"/>
    <x v="1"/>
  </r>
  <r>
    <s v="PT00013"/>
    <x v="0"/>
    <n v="145"/>
    <n v="184"/>
    <n v="0.78800000000000003"/>
    <x v="1"/>
  </r>
  <r>
    <s v="PT00036"/>
    <x v="1"/>
    <n v="145"/>
    <n v="184"/>
    <n v="0.78800000000000003"/>
    <x v="1"/>
  </r>
  <r>
    <s v="PT00067"/>
    <x v="2"/>
    <n v="146"/>
    <n v="184"/>
    <n v="0.79300000000000004"/>
    <x v="1"/>
  </r>
  <r>
    <s v="PT00101"/>
    <x v="2"/>
    <n v="146"/>
    <n v="184"/>
    <n v="0.79300000000000004"/>
    <x v="1"/>
  </r>
  <r>
    <s v="PT00002"/>
    <x v="1"/>
    <n v="147"/>
    <n v="184"/>
    <n v="0.79900000000000004"/>
    <x v="1"/>
  </r>
  <r>
    <s v="PT00049"/>
    <x v="1"/>
    <n v="147"/>
    <n v="184"/>
    <n v="0.79900000000000004"/>
    <x v="1"/>
  </r>
  <r>
    <s v="PT00070"/>
    <x v="0"/>
    <n v="147"/>
    <n v="184"/>
    <n v="0.79900000000000004"/>
    <x v="1"/>
  </r>
  <r>
    <s v="PT00086"/>
    <x v="2"/>
    <n v="147"/>
    <n v="184"/>
    <n v="0.79900000000000004"/>
    <x v="1"/>
  </r>
  <r>
    <s v="PT00089"/>
    <x v="0"/>
    <n v="147"/>
    <n v="184"/>
    <n v="0.79900000000000004"/>
    <x v="1"/>
  </r>
  <r>
    <s v="PT00063"/>
    <x v="2"/>
    <n v="148"/>
    <n v="184"/>
    <n v="0.80400000000000005"/>
    <x v="2"/>
  </r>
  <r>
    <s v="PT00094"/>
    <x v="2"/>
    <n v="148"/>
    <n v="184"/>
    <n v="0.80400000000000005"/>
    <x v="2"/>
  </r>
  <r>
    <s v="PT00033"/>
    <x v="0"/>
    <n v="149"/>
    <n v="184"/>
    <n v="0.81"/>
    <x v="2"/>
  </r>
  <r>
    <s v="PT00039"/>
    <x v="1"/>
    <n v="150"/>
    <n v="184"/>
    <n v="0.81499999999999995"/>
    <x v="2"/>
  </r>
  <r>
    <s v="PT00046"/>
    <x v="0"/>
    <n v="150"/>
    <n v="184"/>
    <n v="0.81499999999999995"/>
    <x v="2"/>
  </r>
  <r>
    <s v="PT00071"/>
    <x v="2"/>
    <n v="150"/>
    <n v="184"/>
    <n v="0.81499999999999995"/>
    <x v="2"/>
  </r>
  <r>
    <s v="PT00135"/>
    <x v="0"/>
    <n v="150"/>
    <n v="184"/>
    <n v="0.81499999999999995"/>
    <x v="2"/>
  </r>
  <r>
    <s v="PT00148"/>
    <x v="2"/>
    <n v="150"/>
    <n v="184"/>
    <n v="0.81499999999999995"/>
    <x v="2"/>
  </r>
  <r>
    <s v="PT00057"/>
    <x v="0"/>
    <n v="151"/>
    <n v="184"/>
    <n v="0.82099999999999995"/>
    <x v="2"/>
  </r>
  <r>
    <s v="PT00141"/>
    <x v="1"/>
    <n v="153"/>
    <n v="184"/>
    <n v="0.83199999999999996"/>
    <x v="2"/>
  </r>
  <r>
    <s v="PT00112"/>
    <x v="2"/>
    <n v="154"/>
    <n v="184"/>
    <n v="0.83699999999999997"/>
    <x v="2"/>
  </r>
  <r>
    <s v="PT00139"/>
    <x v="1"/>
    <n v="154"/>
    <n v="184"/>
    <n v="0.83699999999999997"/>
    <x v="2"/>
  </r>
  <r>
    <s v="PT00157"/>
    <x v="2"/>
    <n v="154"/>
    <n v="184"/>
    <n v="0.83699999999999997"/>
    <x v="2"/>
  </r>
  <r>
    <s v="PT00047"/>
    <x v="2"/>
    <n v="155"/>
    <n v="184"/>
    <n v="0.84199999999999997"/>
    <x v="2"/>
  </r>
  <r>
    <s v="PT00116"/>
    <x v="0"/>
    <n v="155"/>
    <n v="184"/>
    <n v="0.84199999999999997"/>
    <x v="2"/>
  </r>
  <r>
    <s v="PT00109"/>
    <x v="1"/>
    <n v="156"/>
    <n v="184"/>
    <n v="0.84799999999999998"/>
    <x v="2"/>
  </r>
  <r>
    <s v="PT00111"/>
    <x v="2"/>
    <n v="156"/>
    <n v="184"/>
    <n v="0.84799999999999998"/>
    <x v="2"/>
  </r>
  <r>
    <s v="PT00140"/>
    <x v="1"/>
    <n v="156"/>
    <n v="184"/>
    <n v="0.84799999999999998"/>
    <x v="2"/>
  </r>
  <r>
    <s v="PT00010"/>
    <x v="2"/>
    <n v="157"/>
    <n v="184"/>
    <n v="0.85299999999999998"/>
    <x v="2"/>
  </r>
  <r>
    <s v="PT00016"/>
    <x v="0"/>
    <n v="157"/>
    <n v="184"/>
    <n v="0.85299999999999998"/>
    <x v="2"/>
  </r>
  <r>
    <s v="PT00048"/>
    <x v="2"/>
    <n v="157"/>
    <n v="184"/>
    <n v="0.85299999999999998"/>
    <x v="2"/>
  </r>
  <r>
    <s v="PT00002"/>
    <x v="0"/>
    <n v="158"/>
    <n v="184"/>
    <n v="0.85899999999999999"/>
    <x v="2"/>
  </r>
  <r>
    <s v="PT00117"/>
    <x v="2"/>
    <n v="158"/>
    <n v="184"/>
    <n v="0.85899999999999999"/>
    <x v="2"/>
  </r>
  <r>
    <s v="PT00079"/>
    <x v="0"/>
    <n v="159"/>
    <n v="184"/>
    <n v="0.86399999999999999"/>
    <x v="2"/>
  </r>
  <r>
    <s v="PT00150"/>
    <x v="0"/>
    <n v="159"/>
    <n v="184"/>
    <n v="0.86399999999999999"/>
    <x v="2"/>
  </r>
  <r>
    <s v="PT00151"/>
    <x v="0"/>
    <n v="159"/>
    <n v="184"/>
    <n v="0.86399999999999999"/>
    <x v="2"/>
  </r>
  <r>
    <s v="PT00023"/>
    <x v="2"/>
    <n v="160"/>
    <n v="184"/>
    <n v="0.87"/>
    <x v="2"/>
  </r>
  <r>
    <s v="PT00037"/>
    <x v="0"/>
    <n v="160"/>
    <n v="184"/>
    <n v="0.87"/>
    <x v="2"/>
  </r>
  <r>
    <s v="PT00069"/>
    <x v="0"/>
    <n v="160"/>
    <n v="184"/>
    <n v="0.87"/>
    <x v="2"/>
  </r>
  <r>
    <s v="PT00080"/>
    <x v="2"/>
    <n v="160"/>
    <n v="184"/>
    <n v="0.87"/>
    <x v="2"/>
  </r>
  <r>
    <s v="PT00090"/>
    <x v="0"/>
    <n v="160"/>
    <n v="184"/>
    <n v="0.87"/>
    <x v="2"/>
  </r>
  <r>
    <s v="PT00055"/>
    <x v="1"/>
    <n v="161"/>
    <n v="184"/>
    <n v="0.875"/>
    <x v="2"/>
  </r>
  <r>
    <s v="PT00073"/>
    <x v="0"/>
    <n v="161"/>
    <n v="184"/>
    <n v="0.875"/>
    <x v="2"/>
  </r>
  <r>
    <s v="PT00091"/>
    <x v="2"/>
    <n v="161"/>
    <n v="184"/>
    <n v="0.875"/>
    <x v="2"/>
  </r>
  <r>
    <s v="PT00108"/>
    <x v="2"/>
    <n v="161"/>
    <n v="184"/>
    <n v="0.875"/>
    <x v="2"/>
  </r>
  <r>
    <s v="PT00121"/>
    <x v="1"/>
    <n v="161"/>
    <n v="184"/>
    <n v="0.875"/>
    <x v="2"/>
  </r>
  <r>
    <s v="PT00008"/>
    <x v="1"/>
    <n v="162"/>
    <n v="184"/>
    <n v="0.88"/>
    <x v="2"/>
  </r>
  <r>
    <s v="PT00013"/>
    <x v="2"/>
    <n v="162"/>
    <n v="184"/>
    <n v="0.88"/>
    <x v="2"/>
  </r>
  <r>
    <s v="PT00021"/>
    <x v="2"/>
    <n v="162"/>
    <n v="184"/>
    <n v="0.88"/>
    <x v="2"/>
  </r>
  <r>
    <s v="PT00045"/>
    <x v="2"/>
    <n v="162"/>
    <n v="184"/>
    <n v="0.88"/>
    <x v="2"/>
  </r>
  <r>
    <s v="PT00132"/>
    <x v="0"/>
    <n v="162"/>
    <n v="184"/>
    <n v="0.88"/>
    <x v="2"/>
  </r>
  <r>
    <s v="PT00140"/>
    <x v="2"/>
    <n v="162"/>
    <n v="184"/>
    <n v="0.88"/>
    <x v="2"/>
  </r>
  <r>
    <s v="PT00008"/>
    <x v="2"/>
    <n v="163"/>
    <n v="184"/>
    <n v="0.88600000000000001"/>
    <x v="2"/>
  </r>
  <r>
    <s v="PT00032"/>
    <x v="1"/>
    <n v="163"/>
    <n v="184"/>
    <n v="0.88600000000000001"/>
    <x v="2"/>
  </r>
  <r>
    <s v="PT00041"/>
    <x v="0"/>
    <n v="163"/>
    <n v="184"/>
    <n v="0.88600000000000001"/>
    <x v="2"/>
  </r>
  <r>
    <s v="PT00056"/>
    <x v="2"/>
    <n v="163"/>
    <n v="184"/>
    <n v="0.88600000000000001"/>
    <x v="2"/>
  </r>
  <r>
    <s v="PT00085"/>
    <x v="0"/>
    <n v="163"/>
    <n v="184"/>
    <n v="0.88600000000000001"/>
    <x v="2"/>
  </r>
  <r>
    <s v="PT00096"/>
    <x v="1"/>
    <n v="163"/>
    <n v="184"/>
    <n v="0.88600000000000001"/>
    <x v="2"/>
  </r>
  <r>
    <s v="PT00120"/>
    <x v="0"/>
    <n v="163"/>
    <n v="184"/>
    <n v="0.88600000000000001"/>
    <x v="2"/>
  </r>
  <r>
    <s v="PT00135"/>
    <x v="1"/>
    <n v="163"/>
    <n v="184"/>
    <n v="0.88600000000000001"/>
    <x v="2"/>
  </r>
  <r>
    <s v="PT00008"/>
    <x v="0"/>
    <n v="164"/>
    <n v="184"/>
    <n v="0.89100000000000001"/>
    <x v="2"/>
  </r>
  <r>
    <s v="PT00012"/>
    <x v="0"/>
    <n v="164"/>
    <n v="184"/>
    <n v="0.89100000000000001"/>
    <x v="2"/>
  </r>
  <r>
    <s v="PT00025"/>
    <x v="2"/>
    <n v="164"/>
    <n v="184"/>
    <n v="0.89100000000000001"/>
    <x v="2"/>
  </r>
  <r>
    <s v="PT00029"/>
    <x v="0"/>
    <n v="164"/>
    <n v="184"/>
    <n v="0.89100000000000001"/>
    <x v="2"/>
  </r>
  <r>
    <s v="PT00060"/>
    <x v="0"/>
    <n v="164"/>
    <n v="184"/>
    <n v="0.89100000000000001"/>
    <x v="2"/>
  </r>
  <r>
    <s v="PT00063"/>
    <x v="0"/>
    <n v="164"/>
    <n v="184"/>
    <n v="0.89100000000000001"/>
    <x v="2"/>
  </r>
  <r>
    <s v="PT00147"/>
    <x v="2"/>
    <n v="164"/>
    <n v="184"/>
    <n v="0.89100000000000001"/>
    <x v="2"/>
  </r>
  <r>
    <s v="PT00002"/>
    <x v="2"/>
    <n v="165"/>
    <n v="184"/>
    <n v="0.89700000000000002"/>
    <x v="2"/>
  </r>
  <r>
    <s v="PT00022"/>
    <x v="1"/>
    <n v="165"/>
    <n v="184"/>
    <n v="0.89700000000000002"/>
    <x v="2"/>
  </r>
  <r>
    <s v="PT00031"/>
    <x v="1"/>
    <n v="165"/>
    <n v="184"/>
    <n v="0.89700000000000002"/>
    <x v="2"/>
  </r>
  <r>
    <s v="PT00072"/>
    <x v="0"/>
    <n v="165"/>
    <n v="184"/>
    <n v="0.89700000000000002"/>
    <x v="2"/>
  </r>
  <r>
    <s v="PT00087"/>
    <x v="2"/>
    <n v="165"/>
    <n v="184"/>
    <n v="0.89700000000000002"/>
    <x v="2"/>
  </r>
  <r>
    <s v="PT00118"/>
    <x v="0"/>
    <n v="165"/>
    <n v="184"/>
    <n v="0.89700000000000002"/>
    <x v="2"/>
  </r>
  <r>
    <s v="PT00119"/>
    <x v="1"/>
    <n v="165"/>
    <n v="184"/>
    <n v="0.89700000000000002"/>
    <x v="2"/>
  </r>
  <r>
    <s v="PT00135"/>
    <x v="2"/>
    <n v="165"/>
    <n v="184"/>
    <n v="0.89700000000000002"/>
    <x v="2"/>
  </r>
  <r>
    <s v="PT00157"/>
    <x v="0"/>
    <n v="165"/>
    <n v="184"/>
    <n v="0.89700000000000002"/>
    <x v="2"/>
  </r>
  <r>
    <s v="PT00021"/>
    <x v="1"/>
    <n v="166"/>
    <n v="184"/>
    <n v="0.90200000000000002"/>
    <x v="2"/>
  </r>
  <r>
    <s v="PT00042"/>
    <x v="1"/>
    <n v="166"/>
    <n v="184"/>
    <n v="0.90200000000000002"/>
    <x v="2"/>
  </r>
  <r>
    <s v="PT00076"/>
    <x v="1"/>
    <n v="166"/>
    <n v="184"/>
    <n v="0.90200000000000002"/>
    <x v="2"/>
  </r>
  <r>
    <s v="PT00095"/>
    <x v="2"/>
    <n v="166"/>
    <n v="184"/>
    <n v="0.90200000000000002"/>
    <x v="2"/>
  </r>
  <r>
    <s v="PT00148"/>
    <x v="0"/>
    <n v="166"/>
    <n v="184"/>
    <n v="0.90200000000000002"/>
    <x v="2"/>
  </r>
  <r>
    <s v="PT00024"/>
    <x v="0"/>
    <n v="167"/>
    <n v="184"/>
    <n v="0.90800000000000003"/>
    <x v="2"/>
  </r>
  <r>
    <s v="PT00036"/>
    <x v="2"/>
    <n v="167"/>
    <n v="184"/>
    <n v="0.90800000000000003"/>
    <x v="2"/>
  </r>
  <r>
    <s v="PT00040"/>
    <x v="0"/>
    <n v="167"/>
    <n v="184"/>
    <n v="0.90800000000000003"/>
    <x v="2"/>
  </r>
  <r>
    <s v="PT00061"/>
    <x v="2"/>
    <n v="167"/>
    <n v="184"/>
    <n v="0.90800000000000003"/>
    <x v="2"/>
  </r>
  <r>
    <s v="PT00088"/>
    <x v="0"/>
    <n v="167"/>
    <n v="184"/>
    <n v="0.90800000000000003"/>
    <x v="2"/>
  </r>
  <r>
    <s v="PT00121"/>
    <x v="2"/>
    <n v="167"/>
    <n v="184"/>
    <n v="0.90800000000000003"/>
    <x v="2"/>
  </r>
  <r>
    <s v="PT00130"/>
    <x v="0"/>
    <n v="167"/>
    <n v="184"/>
    <n v="0.90800000000000003"/>
    <x v="2"/>
  </r>
  <r>
    <s v="PT00153"/>
    <x v="2"/>
    <n v="167"/>
    <n v="184"/>
    <n v="0.90800000000000003"/>
    <x v="2"/>
  </r>
  <r>
    <s v="PT00051"/>
    <x v="1"/>
    <n v="168"/>
    <n v="184"/>
    <n v="0.91300000000000003"/>
    <x v="2"/>
  </r>
  <r>
    <s v="PT00055"/>
    <x v="2"/>
    <n v="168"/>
    <n v="184"/>
    <n v="0.91300000000000003"/>
    <x v="2"/>
  </r>
  <r>
    <s v="PT00114"/>
    <x v="1"/>
    <n v="169"/>
    <n v="184"/>
    <n v="0.91800000000000004"/>
    <x v="2"/>
  </r>
  <r>
    <s v="PT00119"/>
    <x v="0"/>
    <n v="169"/>
    <n v="184"/>
    <n v="0.91800000000000004"/>
    <x v="2"/>
  </r>
  <r>
    <s v="PT00123"/>
    <x v="0"/>
    <n v="169"/>
    <n v="184"/>
    <n v="0.91800000000000004"/>
    <x v="2"/>
  </r>
  <r>
    <s v="PT00160"/>
    <x v="1"/>
    <n v="169"/>
    <n v="184"/>
    <n v="0.91800000000000004"/>
    <x v="2"/>
  </r>
  <r>
    <s v="PT00024"/>
    <x v="1"/>
    <n v="170"/>
    <n v="184"/>
    <n v="0.92400000000000004"/>
    <x v="2"/>
  </r>
  <r>
    <s v="PT00040"/>
    <x v="2"/>
    <n v="170"/>
    <n v="184"/>
    <n v="0.92400000000000004"/>
    <x v="2"/>
  </r>
  <r>
    <s v="PT00050"/>
    <x v="2"/>
    <n v="170"/>
    <n v="184"/>
    <n v="0.92400000000000004"/>
    <x v="2"/>
  </r>
  <r>
    <s v="PT00062"/>
    <x v="1"/>
    <n v="170"/>
    <n v="184"/>
    <n v="0.92400000000000004"/>
    <x v="2"/>
  </r>
  <r>
    <s v="PT00138"/>
    <x v="0"/>
    <n v="170"/>
    <n v="184"/>
    <n v="0.92400000000000004"/>
    <x v="2"/>
  </r>
  <r>
    <s v="PT00156"/>
    <x v="1"/>
    <n v="170"/>
    <n v="184"/>
    <n v="0.92400000000000004"/>
    <x v="2"/>
  </r>
  <r>
    <s v="PT00060"/>
    <x v="1"/>
    <n v="171"/>
    <n v="184"/>
    <n v="0.92900000000000005"/>
    <x v="2"/>
  </r>
  <r>
    <s v="PT00068"/>
    <x v="0"/>
    <n v="171"/>
    <n v="184"/>
    <n v="0.92900000000000005"/>
    <x v="2"/>
  </r>
  <r>
    <s v="PT00082"/>
    <x v="1"/>
    <n v="171"/>
    <n v="184"/>
    <n v="0.92900000000000005"/>
    <x v="2"/>
  </r>
  <r>
    <s v="PT00092"/>
    <x v="1"/>
    <n v="171"/>
    <n v="184"/>
    <n v="0.92900000000000005"/>
    <x v="2"/>
  </r>
  <r>
    <s v="PT00102"/>
    <x v="2"/>
    <n v="171"/>
    <n v="184"/>
    <n v="0.92900000000000005"/>
    <x v="2"/>
  </r>
  <r>
    <s v="PT00011"/>
    <x v="2"/>
    <n v="172"/>
    <n v="184"/>
    <n v="0.93500000000000005"/>
    <x v="2"/>
  </r>
  <r>
    <s v="PT00026"/>
    <x v="0"/>
    <n v="172"/>
    <n v="184"/>
    <n v="0.93500000000000005"/>
    <x v="2"/>
  </r>
  <r>
    <s v="PT00027"/>
    <x v="1"/>
    <n v="172"/>
    <n v="184"/>
    <n v="0.93500000000000005"/>
    <x v="2"/>
  </r>
  <r>
    <s v="PT00035"/>
    <x v="1"/>
    <n v="172"/>
    <n v="184"/>
    <n v="0.93500000000000005"/>
    <x v="2"/>
  </r>
  <r>
    <s v="PT00064"/>
    <x v="0"/>
    <n v="172"/>
    <n v="184"/>
    <n v="0.93500000000000005"/>
    <x v="2"/>
  </r>
  <r>
    <s v="PT00128"/>
    <x v="2"/>
    <n v="172"/>
    <n v="184"/>
    <n v="0.93500000000000005"/>
    <x v="2"/>
  </r>
  <r>
    <s v="PT00133"/>
    <x v="1"/>
    <n v="172"/>
    <n v="184"/>
    <n v="0.93500000000000005"/>
    <x v="2"/>
  </r>
  <r>
    <s v="PT00045"/>
    <x v="1"/>
    <n v="173"/>
    <n v="184"/>
    <n v="0.94"/>
    <x v="2"/>
  </r>
  <r>
    <s v="PT00084"/>
    <x v="1"/>
    <n v="173"/>
    <n v="184"/>
    <n v="0.94"/>
    <x v="2"/>
  </r>
  <r>
    <s v="PT00095"/>
    <x v="1"/>
    <n v="173"/>
    <n v="184"/>
    <n v="0.94"/>
    <x v="2"/>
  </r>
  <r>
    <s v="PT00119"/>
    <x v="2"/>
    <n v="173"/>
    <n v="184"/>
    <n v="0.94"/>
    <x v="2"/>
  </r>
  <r>
    <s v="PT00122"/>
    <x v="2"/>
    <n v="173"/>
    <n v="184"/>
    <n v="0.94"/>
    <x v="2"/>
  </r>
  <r>
    <s v="PT00034"/>
    <x v="2"/>
    <n v="174"/>
    <n v="184"/>
    <n v="0.94599999999999995"/>
    <x v="2"/>
  </r>
  <r>
    <s v="PT00064"/>
    <x v="2"/>
    <n v="174"/>
    <n v="184"/>
    <n v="0.94599999999999995"/>
    <x v="2"/>
  </r>
  <r>
    <s v="PT00122"/>
    <x v="0"/>
    <n v="174"/>
    <n v="184"/>
    <n v="0.94599999999999995"/>
    <x v="2"/>
  </r>
  <r>
    <s v="PT00019"/>
    <x v="1"/>
    <n v="175"/>
    <n v="184"/>
    <n v="0.95099999999999996"/>
    <x v="2"/>
  </r>
  <r>
    <s v="PT00034"/>
    <x v="1"/>
    <n v="175"/>
    <n v="184"/>
    <n v="0.95099999999999996"/>
    <x v="2"/>
  </r>
  <r>
    <s v="PT00066"/>
    <x v="0"/>
    <n v="175"/>
    <n v="184"/>
    <n v="0.95099999999999996"/>
    <x v="2"/>
  </r>
  <r>
    <s v="PT00074"/>
    <x v="1"/>
    <n v="175"/>
    <n v="184"/>
    <n v="0.95099999999999996"/>
    <x v="2"/>
  </r>
  <r>
    <s v="PT00078"/>
    <x v="2"/>
    <n v="175"/>
    <n v="184"/>
    <n v="0.95099999999999996"/>
    <x v="2"/>
  </r>
  <r>
    <s v="PT00117"/>
    <x v="1"/>
    <n v="175"/>
    <n v="184"/>
    <n v="0.95099999999999996"/>
    <x v="2"/>
  </r>
  <r>
    <s v="PT00121"/>
    <x v="0"/>
    <n v="175"/>
    <n v="184"/>
    <n v="0.95099999999999996"/>
    <x v="2"/>
  </r>
  <r>
    <s v="PT00137"/>
    <x v="1"/>
    <n v="175"/>
    <n v="184"/>
    <n v="0.95099999999999996"/>
    <x v="2"/>
  </r>
  <r>
    <s v="PT00035"/>
    <x v="0"/>
    <n v="176"/>
    <n v="184"/>
    <n v="0.95699999999999996"/>
    <x v="2"/>
  </r>
  <r>
    <s v="PT00070"/>
    <x v="2"/>
    <n v="176"/>
    <n v="184"/>
    <n v="0.95699999999999996"/>
    <x v="2"/>
  </r>
  <r>
    <s v="PT00070"/>
    <x v="1"/>
    <n v="176"/>
    <n v="184"/>
    <n v="0.95699999999999996"/>
    <x v="2"/>
  </r>
  <r>
    <s v="PT00077"/>
    <x v="2"/>
    <n v="176"/>
    <n v="184"/>
    <n v="0.95699999999999996"/>
    <x v="2"/>
  </r>
  <r>
    <s v="PT00087"/>
    <x v="1"/>
    <n v="176"/>
    <n v="184"/>
    <n v="0.95699999999999996"/>
    <x v="2"/>
  </r>
  <r>
    <s v="PT00094"/>
    <x v="0"/>
    <n v="176"/>
    <n v="184"/>
    <n v="0.95699999999999996"/>
    <x v="2"/>
  </r>
  <r>
    <s v="PT00103"/>
    <x v="1"/>
    <n v="176"/>
    <n v="184"/>
    <n v="0.95699999999999996"/>
    <x v="2"/>
  </r>
  <r>
    <s v="PT00113"/>
    <x v="2"/>
    <n v="176"/>
    <n v="184"/>
    <n v="0.95699999999999996"/>
    <x v="2"/>
  </r>
  <r>
    <s v="PT00115"/>
    <x v="1"/>
    <n v="176"/>
    <n v="184"/>
    <n v="0.95699999999999996"/>
    <x v="2"/>
  </r>
  <r>
    <s v="PT00154"/>
    <x v="1"/>
    <n v="176"/>
    <n v="184"/>
    <n v="0.95699999999999996"/>
    <x v="2"/>
  </r>
  <r>
    <s v="PT00043"/>
    <x v="2"/>
    <n v="177"/>
    <n v="184"/>
    <n v="0.96199999999999997"/>
    <x v="2"/>
  </r>
  <r>
    <s v="PT00152"/>
    <x v="0"/>
    <n v="177"/>
    <n v="184"/>
    <n v="0.96199999999999997"/>
    <x v="2"/>
  </r>
  <r>
    <s v="PT00158"/>
    <x v="2"/>
    <n v="177"/>
    <n v="184"/>
    <n v="0.96199999999999997"/>
    <x v="2"/>
  </r>
  <r>
    <s v="PT00019"/>
    <x v="2"/>
    <n v="178"/>
    <n v="184"/>
    <n v="0.96699999999999997"/>
    <x v="2"/>
  </r>
  <r>
    <s v="PT00061"/>
    <x v="1"/>
    <n v="178"/>
    <n v="184"/>
    <n v="0.96699999999999997"/>
    <x v="2"/>
  </r>
  <r>
    <s v="PT00127"/>
    <x v="1"/>
    <n v="178"/>
    <n v="184"/>
    <n v="0.96699999999999997"/>
    <x v="2"/>
  </r>
  <r>
    <s v="PT00005"/>
    <x v="0"/>
    <n v="179"/>
    <n v="184"/>
    <n v="0.97299999999999998"/>
    <x v="2"/>
  </r>
  <r>
    <s v="PT00052"/>
    <x v="1"/>
    <n v="179"/>
    <n v="184"/>
    <n v="0.97299999999999998"/>
    <x v="2"/>
  </r>
  <r>
    <s v="PT00077"/>
    <x v="0"/>
    <n v="179"/>
    <n v="184"/>
    <n v="0.97299999999999998"/>
    <x v="2"/>
  </r>
  <r>
    <s v="PT00099"/>
    <x v="0"/>
    <n v="179"/>
    <n v="184"/>
    <n v="0.97299999999999998"/>
    <x v="2"/>
  </r>
  <r>
    <s v="PT00127"/>
    <x v="2"/>
    <n v="179"/>
    <n v="184"/>
    <n v="0.97299999999999998"/>
    <x v="2"/>
  </r>
  <r>
    <s v="PT00131"/>
    <x v="0"/>
    <n v="179"/>
    <n v="184"/>
    <n v="0.97299999999999998"/>
    <x v="2"/>
  </r>
  <r>
    <s v="PT00031"/>
    <x v="2"/>
    <n v="180"/>
    <n v="184"/>
    <n v="0.97799999999999998"/>
    <x v="2"/>
  </r>
  <r>
    <s v="PT00063"/>
    <x v="1"/>
    <n v="180"/>
    <n v="184"/>
    <n v="0.97799999999999998"/>
    <x v="2"/>
  </r>
  <r>
    <s v="PT00098"/>
    <x v="2"/>
    <n v="180"/>
    <n v="184"/>
    <n v="0.97799999999999998"/>
    <x v="2"/>
  </r>
  <r>
    <s v="PT00104"/>
    <x v="2"/>
    <n v="180"/>
    <n v="184"/>
    <n v="0.97799999999999998"/>
    <x v="2"/>
  </r>
  <r>
    <s v="PT00106"/>
    <x v="1"/>
    <n v="180"/>
    <n v="184"/>
    <n v="0.97799999999999998"/>
    <x v="2"/>
  </r>
  <r>
    <s v="PT00113"/>
    <x v="1"/>
    <n v="180"/>
    <n v="184"/>
    <n v="0.97799999999999998"/>
    <x v="2"/>
  </r>
  <r>
    <s v="PT00145"/>
    <x v="2"/>
    <n v="180"/>
    <n v="184"/>
    <n v="0.97799999999999998"/>
    <x v="2"/>
  </r>
  <r>
    <s v="PT00145"/>
    <x v="0"/>
    <n v="180"/>
    <n v="184"/>
    <n v="0.97799999999999998"/>
    <x v="2"/>
  </r>
  <r>
    <s v="PT00146"/>
    <x v="1"/>
    <n v="180"/>
    <n v="184"/>
    <n v="0.97799999999999998"/>
    <x v="2"/>
  </r>
  <r>
    <s v="PT00155"/>
    <x v="0"/>
    <n v="180"/>
    <n v="184"/>
    <n v="0.97799999999999998"/>
    <x v="2"/>
  </r>
  <r>
    <s v="PT00009"/>
    <x v="1"/>
    <n v="181"/>
    <n v="184"/>
    <n v="0.98399999999999999"/>
    <x v="2"/>
  </r>
  <r>
    <s v="PT00151"/>
    <x v="1"/>
    <n v="181"/>
    <n v="184"/>
    <n v="0.98399999999999999"/>
    <x v="2"/>
  </r>
  <r>
    <s v="PT00158"/>
    <x v="0"/>
    <n v="181"/>
    <n v="184"/>
    <n v="0.98399999999999999"/>
    <x v="2"/>
  </r>
  <r>
    <s v="PT00001"/>
    <x v="2"/>
    <n v="182"/>
    <n v="184"/>
    <n v="0.98899999999999999"/>
    <x v="2"/>
  </r>
  <r>
    <s v="PT00105"/>
    <x v="0"/>
    <n v="182"/>
    <n v="184"/>
    <n v="0.98899999999999999"/>
    <x v="2"/>
  </r>
  <r>
    <s v="PT00140"/>
    <x v="0"/>
    <n v="182"/>
    <n v="184"/>
    <n v="0.98899999999999999"/>
    <x v="2"/>
  </r>
  <r>
    <s v="PT00059"/>
    <x v="0"/>
    <n v="183"/>
    <n v="184"/>
    <n v="0.995"/>
    <x v="2"/>
  </r>
  <r>
    <s v="PT00151"/>
    <x v="2"/>
    <n v="183"/>
    <n v="184"/>
    <n v="0.995"/>
    <x v="2"/>
  </r>
  <r>
    <s v="PT00085"/>
    <x v="1"/>
    <n v="186"/>
    <n v="184"/>
    <n v="1.0109999999999999"/>
    <x v="2"/>
  </r>
  <r>
    <s v="PT00088"/>
    <x v="1"/>
    <n v="187"/>
    <n v="184"/>
    <n v="1.016"/>
    <x v="2"/>
  </r>
  <r>
    <s v="PT00003"/>
    <x v="2"/>
    <n v="188"/>
    <n v="184"/>
    <n v="1.02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x v="0"/>
    <s v="OC Family Medicine"/>
    <s v="PT00034"/>
    <x v="0"/>
    <n v="0.16300000000000001"/>
    <d v="2025-07-08T00:00:00"/>
    <d v="2025-08-06T00:00:00"/>
    <n v="147"/>
  </r>
  <r>
    <x v="1"/>
    <x v="1"/>
    <s v="OC Family Medicine"/>
    <s v="PT00090"/>
    <x v="1"/>
    <n v="0.16300000000000001"/>
    <d v="2025-07-10T00:00:00"/>
    <d v="2025-08-08T00:00:00"/>
    <n v="145"/>
  </r>
  <r>
    <x v="2"/>
    <x v="2"/>
    <s v="OC Family Medicine"/>
    <s v="PT00038"/>
    <x v="2"/>
    <n v="0.16300000000000001"/>
    <d v="2025-07-13T00:00:00"/>
    <d v="2025-08-11T00:00:00"/>
    <n v="142"/>
  </r>
  <r>
    <x v="1"/>
    <x v="1"/>
    <s v="OC Family Medicine"/>
    <s v="PT00048"/>
    <x v="0"/>
    <n v="0.32600000000000001"/>
    <d v="2025-07-08T00:00:00"/>
    <d v="2025-09-05T00:00:00"/>
    <n v="117"/>
  </r>
  <r>
    <x v="3"/>
    <x v="3"/>
    <s v="OC Family Medicine"/>
    <s v="PT00083"/>
    <x v="0"/>
    <n v="0.32600000000000001"/>
    <d v="2025-07-14T00:00:00"/>
    <d v="2025-09-11T00:00:00"/>
    <n v="111"/>
  </r>
  <r>
    <x v="4"/>
    <x v="4"/>
    <s v="OC Family Medicine"/>
    <s v="PT00104"/>
    <x v="0"/>
    <n v="0.32600000000000001"/>
    <d v="2025-07-17T00:00:00"/>
    <d v="2025-09-14T00:00:00"/>
    <n v="108"/>
  </r>
  <r>
    <x v="5"/>
    <x v="5"/>
    <s v="Coastal Internal Med"/>
    <s v="PT00130"/>
    <x v="2"/>
    <n v="0.32600000000000001"/>
    <d v="2025-08-23T00:00:00"/>
    <d v="2025-09-21T00:00:00"/>
    <n v="101"/>
  </r>
  <r>
    <x v="6"/>
    <x v="6"/>
    <s v="Coastal Internal Med"/>
    <s v="PT00007"/>
    <x v="1"/>
    <n v="0.32600000000000001"/>
    <d v="2025-09-08T00:00:00"/>
    <d v="2025-10-07T00:00:00"/>
    <n v="85"/>
  </r>
  <r>
    <x v="4"/>
    <x v="4"/>
    <s v="OC Family Medicine"/>
    <s v="PT00102"/>
    <x v="2"/>
    <n v="0.32600000000000001"/>
    <d v="2025-10-16T00:00:00"/>
    <d v="2025-12-14T00:00:00"/>
    <n v="17"/>
  </r>
  <r>
    <x v="7"/>
    <x v="7"/>
    <s v="OC Family Medicine"/>
    <s v="PT00141"/>
    <x v="1"/>
    <n v="0.42899999999999999"/>
    <d v="2025-12-13T00:00:00"/>
    <d v="2026-01-11T00:00:00"/>
    <n v="-11"/>
  </r>
  <r>
    <x v="7"/>
    <x v="7"/>
    <s v="OC Family Medicine"/>
    <s v="PT00053"/>
    <x v="0"/>
    <n v="0.46700000000000003"/>
    <d v="2025-12-06T00:00:00"/>
    <d v="2026-01-04T00:00:00"/>
    <n v="-4"/>
  </r>
  <r>
    <x v="8"/>
    <x v="8"/>
    <s v="Sunset Cardiology"/>
    <s v="PT00129"/>
    <x v="1"/>
    <n v="0.47799999999999998"/>
    <d v="2025-12-04T00:00:00"/>
    <d v="2026-01-02T00:00:00"/>
    <n v="-2"/>
  </r>
  <r>
    <x v="1"/>
    <x v="1"/>
    <s v="OC Family Medicine"/>
    <s v="PT00015"/>
    <x v="1"/>
    <n v="0.48899999999999999"/>
    <d v="2025-07-04T00:00:00"/>
    <d v="2025-10-01T00:00:00"/>
    <n v="91"/>
  </r>
  <r>
    <x v="3"/>
    <x v="3"/>
    <s v="OC Family Medicine"/>
    <s v="PT00017"/>
    <x v="0"/>
    <n v="0.48899999999999999"/>
    <d v="2025-07-05T00:00:00"/>
    <d v="2025-10-02T00:00:00"/>
    <n v="90"/>
  </r>
  <r>
    <x v="7"/>
    <x v="7"/>
    <s v="OC Family Medicine"/>
    <s v="PT00159"/>
    <x v="2"/>
    <n v="0.48899999999999999"/>
    <d v="2025-07-11T00:00:00"/>
    <d v="2025-10-08T00:00:00"/>
    <n v="84"/>
  </r>
  <r>
    <x v="5"/>
    <x v="5"/>
    <s v="Coastal Internal Med"/>
    <s v="PT00014"/>
    <x v="0"/>
    <n v="0.48899999999999999"/>
    <d v="2025-07-13T00:00:00"/>
    <d v="2025-10-10T00:00:00"/>
    <n v="82"/>
  </r>
  <r>
    <x v="3"/>
    <x v="3"/>
    <s v="OC Family Medicine"/>
    <s v="PT00023"/>
    <x v="0"/>
    <n v="0.48899999999999999"/>
    <d v="2025-07-17T00:00:00"/>
    <d v="2025-10-14T00:00:00"/>
    <n v="78"/>
  </r>
  <r>
    <x v="3"/>
    <x v="3"/>
    <s v="OC Family Medicine"/>
    <s v="PT00047"/>
    <x v="0"/>
    <n v="0.48899999999999999"/>
    <d v="2025-07-17T00:00:00"/>
    <d v="2025-10-14T00:00:00"/>
    <n v="78"/>
  </r>
  <r>
    <x v="2"/>
    <x v="2"/>
    <s v="OC Family Medicine"/>
    <s v="PT00081"/>
    <x v="0"/>
    <n v="0.48899999999999999"/>
    <d v="2025-10-02T00:00:00"/>
    <d v="2025-10-31T00:00:00"/>
    <n v="61"/>
  </r>
  <r>
    <x v="0"/>
    <x v="0"/>
    <s v="OC Family Medicine"/>
    <s v="PT00082"/>
    <x v="1"/>
    <n v="0.48899999999999999"/>
    <d v="2025-10-22T00:00:00"/>
    <d v="2025-11-20T00:00:00"/>
    <n v="41"/>
  </r>
  <r>
    <x v="9"/>
    <x v="9"/>
    <s v="Coastal Internal Med"/>
    <s v="PT00039"/>
    <x v="0"/>
    <n v="0.48899999999999999"/>
    <d v="2025-10-28T00:00:00"/>
    <d v="2025-11-26T00:00:00"/>
    <n v="35"/>
  </r>
  <r>
    <x v="3"/>
    <x v="3"/>
    <s v="OC Family Medicine"/>
    <s v="PT00114"/>
    <x v="0"/>
    <n v="0.48899999999999999"/>
    <d v="2025-11-04T00:00:00"/>
    <d v="2025-12-03T00:00:00"/>
    <n v="28"/>
  </r>
  <r>
    <x v="3"/>
    <x v="3"/>
    <s v="OC Family Medicine"/>
    <s v="PT00107"/>
    <x v="0"/>
    <n v="0.48899999999999999"/>
    <d v="2025-11-08T00:00:00"/>
    <d v="2025-12-07T00:00:00"/>
    <n v="24"/>
  </r>
  <r>
    <x v="6"/>
    <x v="6"/>
    <s v="Coastal Internal Med"/>
    <s v="PT00004"/>
    <x v="2"/>
    <n v="0.48899999999999999"/>
    <d v="2025-11-10T00:00:00"/>
    <d v="2025-12-09T00:00:00"/>
    <n v="22"/>
  </r>
  <r>
    <x v="3"/>
    <x v="3"/>
    <s v="OC Family Medicine"/>
    <s v="PT00086"/>
    <x v="0"/>
    <n v="0.48899999999999999"/>
    <d v="2025-11-10T00:00:00"/>
    <d v="2025-12-09T00:00:00"/>
    <n v="22"/>
  </r>
  <r>
    <x v="1"/>
    <x v="1"/>
    <s v="OC Family Medicine"/>
    <s v="PT00037"/>
    <x v="1"/>
    <n v="0.48899999999999999"/>
    <d v="2025-11-12T00:00:00"/>
    <d v="2025-12-11T00:00:00"/>
    <n v="20"/>
  </r>
  <r>
    <x v="3"/>
    <x v="3"/>
    <s v="OC Family Medicine"/>
    <s v="PT00093"/>
    <x v="1"/>
    <n v="0.48899999999999999"/>
    <d v="2025-11-12T00:00:00"/>
    <d v="2025-12-11T00:00:00"/>
    <n v="20"/>
  </r>
  <r>
    <x v="1"/>
    <x v="1"/>
    <s v="OC Family Medicine"/>
    <s v="PT00030"/>
    <x v="0"/>
    <n v="0.48899999999999999"/>
    <d v="2025-11-13T00:00:00"/>
    <d v="2025-12-12T00:00:00"/>
    <n v="19"/>
  </r>
  <r>
    <x v="6"/>
    <x v="6"/>
    <s v="Coastal Internal Med"/>
    <s v="PT00004"/>
    <x v="1"/>
    <n v="0.48899999999999999"/>
    <d v="2025-11-14T00:00:00"/>
    <d v="2025-12-13T00:00:00"/>
    <n v="18"/>
  </r>
  <r>
    <x v="9"/>
    <x v="9"/>
    <s v="Coastal Internal Med"/>
    <s v="PT00054"/>
    <x v="1"/>
    <n v="0.48899999999999999"/>
    <d v="2025-11-14T00:00:00"/>
    <d v="2025-12-13T00:00:00"/>
    <n v="18"/>
  </r>
  <r>
    <x v="10"/>
    <x v="10"/>
    <s v="OC Family Medicine"/>
    <s v="PT00075"/>
    <x v="0"/>
    <n v="0.48899999999999999"/>
    <d v="2025-11-14T00:00:00"/>
    <d v="2025-12-13T00:00:00"/>
    <n v="18"/>
  </r>
  <r>
    <x v="1"/>
    <x v="1"/>
    <s v="OC Family Medicine"/>
    <s v="PT00124"/>
    <x v="0"/>
    <n v="0.48899999999999999"/>
    <d v="2025-11-14T00:00:00"/>
    <d v="2025-12-13T00:00:00"/>
    <n v="18"/>
  </r>
  <r>
    <x v="3"/>
    <x v="3"/>
    <s v="OC Family Medicine"/>
    <s v="PT00138"/>
    <x v="1"/>
    <n v="0.48899999999999999"/>
    <d v="2025-11-16T00:00:00"/>
    <d v="2025-12-15T00:00:00"/>
    <n v="16"/>
  </r>
  <r>
    <x v="8"/>
    <x v="8"/>
    <s v="Sunset Cardiology"/>
    <s v="PT00044"/>
    <x v="1"/>
    <n v="0.48899999999999999"/>
    <d v="2025-11-17T00:00:00"/>
    <d v="2025-12-16T00:00:00"/>
    <n v="15"/>
  </r>
  <r>
    <x v="10"/>
    <x v="10"/>
    <s v="OC Family Medicine"/>
    <s v="PT00089"/>
    <x v="1"/>
    <n v="0.48899999999999999"/>
    <d v="2025-11-17T00:00:00"/>
    <d v="2025-12-16T00:00:00"/>
    <n v="15"/>
  </r>
  <r>
    <x v="0"/>
    <x v="0"/>
    <s v="OC Family Medicine"/>
    <s v="PT00036"/>
    <x v="0"/>
    <n v="0.48899999999999999"/>
    <d v="2025-11-20T00:00:00"/>
    <d v="2025-12-19T00:00:00"/>
    <n v="12"/>
  </r>
  <r>
    <x v="10"/>
    <x v="10"/>
    <s v="OC Family Medicine"/>
    <s v="PT00012"/>
    <x v="2"/>
    <n v="0.48899999999999999"/>
    <d v="2025-11-21T00:00:00"/>
    <d v="2025-12-20T00:00:00"/>
    <n v="11"/>
  </r>
  <r>
    <x v="2"/>
    <x v="2"/>
    <s v="OC Family Medicine"/>
    <s v="PT00098"/>
    <x v="2"/>
    <n v="0.48899999999999999"/>
    <d v="2025-11-21T00:00:00"/>
    <d v="2025-12-20T00:00:00"/>
    <n v="11"/>
  </r>
  <r>
    <x v="11"/>
    <x v="11"/>
    <s v="Harbor Endocrine"/>
    <s v="PT00113"/>
    <x v="0"/>
    <n v="0.48899999999999999"/>
    <d v="2025-11-21T00:00:00"/>
    <d v="2025-12-20T00:00:00"/>
    <n v="11"/>
  </r>
  <r>
    <x v="1"/>
    <x v="1"/>
    <s v="OC Family Medicine"/>
    <s v="PT00126"/>
    <x v="0"/>
    <n v="0.48899999999999999"/>
    <d v="2025-11-21T00:00:00"/>
    <d v="2025-12-20T00:00:00"/>
    <n v="11"/>
  </r>
  <r>
    <x v="9"/>
    <x v="9"/>
    <s v="Coastal Internal Med"/>
    <s v="PT00144"/>
    <x v="2"/>
    <n v="0.48899999999999999"/>
    <d v="2025-11-28T00:00:00"/>
    <d v="2025-12-27T00:00:00"/>
    <n v="4"/>
  </r>
  <r>
    <x v="6"/>
    <x v="6"/>
    <s v="Coastal Internal Med"/>
    <s v="PT00056"/>
    <x v="2"/>
    <n v="0.5"/>
    <d v="2025-12-30T00:00:00"/>
    <d v="2026-01-28T00:00:00"/>
    <n v="-28"/>
  </r>
  <r>
    <x v="0"/>
    <x v="0"/>
    <s v="OC Family Medicine"/>
    <s v="PT00116"/>
    <x v="1"/>
    <n v="0.5"/>
    <d v="2025-12-30T00:00:00"/>
    <d v="2026-01-28T00:00:00"/>
    <n v="-28"/>
  </r>
  <r>
    <x v="1"/>
    <x v="1"/>
    <s v="OC Family Medicine"/>
    <s v="PT00126"/>
    <x v="2"/>
    <n v="0.505"/>
    <d v="2025-12-29T00:00:00"/>
    <d v="2026-01-27T00:00:00"/>
    <n v="-27"/>
  </r>
  <r>
    <x v="1"/>
    <x v="1"/>
    <s v="OC Family Medicine"/>
    <s v="PT00117"/>
    <x v="0"/>
    <n v="0.51100000000000001"/>
    <d v="2025-12-28T00:00:00"/>
    <d v="2026-01-26T00:00:00"/>
    <n v="-26"/>
  </r>
  <r>
    <x v="5"/>
    <x v="5"/>
    <s v="Coastal Internal Med"/>
    <s v="PT00062"/>
    <x v="0"/>
    <n v="0.51600000000000001"/>
    <d v="2025-12-27T00:00:00"/>
    <d v="2026-01-25T00:00:00"/>
    <n v="-25"/>
  </r>
  <r>
    <x v="3"/>
    <x v="3"/>
    <s v="OC Family Medicine"/>
    <s v="PT00114"/>
    <x v="1"/>
    <n v="0.51600000000000001"/>
    <d v="2025-12-27T00:00:00"/>
    <d v="2026-01-25T00:00:00"/>
    <n v="-25"/>
  </r>
  <r>
    <x v="7"/>
    <x v="7"/>
    <s v="OC Family Medicine"/>
    <s v="PT00020"/>
    <x v="1"/>
    <n v="0.52200000000000002"/>
    <d v="2025-11-26T00:00:00"/>
    <d v="2026-01-24T00:00:00"/>
    <n v="-24"/>
  </r>
  <r>
    <x v="11"/>
    <x v="11"/>
    <s v="Harbor Endocrine"/>
    <s v="PT00018"/>
    <x v="2"/>
    <n v="0.52700000000000002"/>
    <d v="2025-12-25T00:00:00"/>
    <d v="2026-01-23T00:00:00"/>
    <n v="-23"/>
  </r>
  <r>
    <x v="3"/>
    <x v="3"/>
    <s v="OC Family Medicine"/>
    <s v="PT00107"/>
    <x v="1"/>
    <n v="0.52700000000000002"/>
    <d v="2025-12-25T00:00:00"/>
    <d v="2026-01-23T00:00:00"/>
    <n v="-23"/>
  </r>
  <r>
    <x v="4"/>
    <x v="4"/>
    <s v="OC Family Medicine"/>
    <s v="PT00143"/>
    <x v="2"/>
    <n v="0.53800000000000003"/>
    <d v="2025-11-23T00:00:00"/>
    <d v="2026-01-21T00:00:00"/>
    <n v="-21"/>
  </r>
  <r>
    <x v="0"/>
    <x v="0"/>
    <s v="OC Family Medicine"/>
    <s v="PT00065"/>
    <x v="1"/>
    <n v="0.54300000000000004"/>
    <d v="2025-12-22T00:00:00"/>
    <d v="2026-01-20T00:00:00"/>
    <n v="-20"/>
  </r>
  <r>
    <x v="8"/>
    <x v="8"/>
    <s v="Sunset Cardiology"/>
    <s v="PT00096"/>
    <x v="1"/>
    <n v="0.54900000000000004"/>
    <d v="2025-12-21T00:00:00"/>
    <d v="2026-01-19T00:00:00"/>
    <n v="-19"/>
  </r>
  <r>
    <x v="3"/>
    <x v="3"/>
    <s v="OC Family Medicine"/>
    <s v="PT00105"/>
    <x v="1"/>
    <n v="0.54900000000000004"/>
    <d v="2025-12-21T00:00:00"/>
    <d v="2026-01-19T00:00:00"/>
    <n v="-19"/>
  </r>
  <r>
    <x v="2"/>
    <x v="2"/>
    <s v="OC Family Medicine"/>
    <s v="PT00025"/>
    <x v="0"/>
    <n v="0.55400000000000005"/>
    <d v="2025-12-20T00:00:00"/>
    <d v="2026-01-18T00:00:00"/>
    <n v="-18"/>
  </r>
  <r>
    <x v="1"/>
    <x v="1"/>
    <s v="OC Family Medicine"/>
    <s v="PT00097"/>
    <x v="2"/>
    <n v="0.56000000000000005"/>
    <d v="2025-12-19T00:00:00"/>
    <d v="2026-01-17T00:00:00"/>
    <n v="-17"/>
  </r>
  <r>
    <x v="0"/>
    <x v="0"/>
    <s v="OC Family Medicine"/>
    <s v="PT00065"/>
    <x v="0"/>
    <n v="0.56499999999999995"/>
    <d v="2025-12-18T00:00:00"/>
    <d v="2026-01-16T00:00:00"/>
    <n v="-16"/>
  </r>
  <r>
    <x v="4"/>
    <x v="4"/>
    <s v="OC Family Medicine"/>
    <s v="PT00003"/>
    <x v="2"/>
    <n v="0.57099999999999995"/>
    <d v="2025-12-17T00:00:00"/>
    <d v="2026-01-15T00:00:00"/>
    <n v="-15"/>
  </r>
  <r>
    <x v="2"/>
    <x v="2"/>
    <s v="OC Family Medicine"/>
    <s v="PT00081"/>
    <x v="2"/>
    <n v="0.57599999999999996"/>
    <d v="2025-12-16T00:00:00"/>
    <d v="2026-01-14T00:00:00"/>
    <n v="-14"/>
  </r>
  <r>
    <x v="10"/>
    <x v="10"/>
    <s v="OC Family Medicine"/>
    <s v="PT00131"/>
    <x v="1"/>
    <n v="0.57599999999999996"/>
    <d v="2025-12-16T00:00:00"/>
    <d v="2026-01-14T00:00:00"/>
    <n v="-14"/>
  </r>
  <r>
    <x v="8"/>
    <x v="8"/>
    <s v="Sunset Cardiology"/>
    <s v="PT00044"/>
    <x v="0"/>
    <n v="0.59199999999999997"/>
    <d v="2025-11-13T00:00:00"/>
    <d v="2026-01-11T00:00:00"/>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48BBD0-FBA4-6647-B84C-B09F9C5FBABA}" name="PivotTable11" cacheId="3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6:Q30" firstHeaderRow="1" firstDataRow="3" firstDataCol="1"/>
  <pivotFields count="10">
    <pivotField showAll="0">
      <items count="13">
        <item x="0"/>
        <item x="1"/>
        <item x="2"/>
        <item x="3"/>
        <item x="4"/>
        <item x="5"/>
        <item x="6"/>
        <item x="7"/>
        <item x="8"/>
        <item x="9"/>
        <item x="10"/>
        <item x="11"/>
        <item t="default"/>
      </items>
    </pivotField>
    <pivotField axis="axisRow" showAll="0" sortType="ascending">
      <items count="13">
        <item x="0"/>
        <item x="9"/>
        <item x="10"/>
        <item x="11"/>
        <item x="1"/>
        <item x="2"/>
        <item x="3"/>
        <item x="4"/>
        <item x="5"/>
        <item x="6"/>
        <item x="7"/>
        <item x="8"/>
        <item t="default"/>
      </items>
      <autoSortScope>
        <pivotArea dataOnly="0" outline="0" fieldPosition="0">
          <references count="2">
            <reference field="4294967294" count="1" selected="0">
              <x v="3"/>
            </reference>
            <reference field="3" count="1" selected="0">
              <x v="0"/>
            </reference>
          </references>
        </pivotArea>
      </autoSortScope>
    </pivotField>
    <pivotField showAll="0"/>
    <pivotField axis="axisCol" showAll="0">
      <items count="4">
        <item x="0"/>
        <item x="1"/>
        <item x="2"/>
        <item t="default"/>
      </items>
    </pivotField>
    <pivotField dataField="1" showAll="0"/>
    <pivotField showAll="0"/>
    <pivotField dataField="1" numFmtId="166" showAll="0"/>
    <pivotField showAll="0"/>
    <pivotField dataField="1" numFmtId="166" showAll="0"/>
    <pivotField dataField="1" showAll="0"/>
  </pivotFields>
  <rowFields count="1">
    <field x="1"/>
  </rowFields>
  <rowItems count="12">
    <i>
      <x v="11"/>
    </i>
    <i>
      <x v="2"/>
    </i>
    <i>
      <x v="8"/>
    </i>
    <i>
      <x v="10"/>
    </i>
    <i>
      <x v="4"/>
    </i>
    <i>
      <x v="9"/>
    </i>
    <i>
      <x/>
    </i>
    <i>
      <x v="7"/>
    </i>
    <i>
      <x v="6"/>
    </i>
    <i>
      <x v="3"/>
    </i>
    <i>
      <x v="1"/>
    </i>
    <i>
      <x v="5"/>
    </i>
  </rowItems>
  <colFields count="2">
    <field x="3"/>
    <field x="-2"/>
  </colFields>
  <colItems count="16">
    <i>
      <x/>
      <x/>
    </i>
    <i r="1" i="1">
      <x v="1"/>
    </i>
    <i r="1" i="2">
      <x v="2"/>
    </i>
    <i r="1" i="3">
      <x v="3"/>
    </i>
    <i>
      <x v="1"/>
      <x/>
    </i>
    <i r="1" i="1">
      <x v="1"/>
    </i>
    <i r="1" i="2">
      <x v="2"/>
    </i>
    <i r="1" i="3">
      <x v="3"/>
    </i>
    <i>
      <x v="2"/>
      <x/>
    </i>
    <i r="1" i="1">
      <x v="1"/>
    </i>
    <i r="1" i="2">
      <x v="2"/>
    </i>
    <i r="1" i="3">
      <x v="3"/>
    </i>
    <i t="grand">
      <x/>
    </i>
    <i t="grand" i="1">
      <x/>
    </i>
    <i t="grand" i="2">
      <x/>
    </i>
    <i t="grand" i="3">
      <x/>
    </i>
  </colItems>
  <dataFields count="4">
    <dataField name="Patients in Class" fld="4" baseField="0" baseItem="0"/>
    <dataField name="Adherence %" fld="6" baseField="0" baseItem="0" numFmtId="166"/>
    <dataField name="High-Risk %" fld="8" baseField="0" baseItem="0" numFmtId="166"/>
    <dataField name="Average PDC" fld="9" subtotal="average" baseField="0" baseItem="0"/>
  </dataFields>
  <formats count="28">
    <format dxfId="223">
      <pivotArea collapsedLevelsAreSubtotals="1" fieldPosition="0">
        <references count="3">
          <reference field="4294967294" count="1" selected="0">
            <x v="1"/>
          </reference>
          <reference field="1" count="0"/>
          <reference field="3" count="1" selected="0">
            <x v="0"/>
          </reference>
        </references>
      </pivotArea>
    </format>
    <format dxfId="222">
      <pivotArea collapsedLevelsAreSubtotals="1" fieldPosition="0">
        <references count="3">
          <reference field="4294967294" count="1" selected="0">
            <x v="2"/>
          </reference>
          <reference field="1" count="0"/>
          <reference field="3" count="1" selected="0">
            <x v="0"/>
          </reference>
        </references>
      </pivotArea>
    </format>
    <format dxfId="221">
      <pivotArea collapsedLevelsAreSubtotals="1" fieldPosition="0">
        <references count="3">
          <reference field="4294967294" count="1" selected="0">
            <x v="1"/>
          </reference>
          <reference field="1" count="0"/>
          <reference field="3" count="1" selected="0">
            <x v="1"/>
          </reference>
        </references>
      </pivotArea>
    </format>
    <format dxfId="220">
      <pivotArea collapsedLevelsAreSubtotals="1" fieldPosition="0">
        <references count="3">
          <reference field="4294967294" count="1" selected="0">
            <x v="1"/>
          </reference>
          <reference field="1" count="0"/>
          <reference field="3" count="1" selected="0">
            <x v="2"/>
          </reference>
        </references>
      </pivotArea>
    </format>
    <format dxfId="219">
      <pivotArea collapsedLevelsAreSubtotals="1" fieldPosition="0">
        <references count="3">
          <reference field="4294967294" count="1" selected="0">
            <x v="2"/>
          </reference>
          <reference field="1" count="0"/>
          <reference field="3" count="1" selected="0">
            <x v="2"/>
          </reference>
        </references>
      </pivotArea>
    </format>
    <format dxfId="218">
      <pivotArea collapsedLevelsAreSubtotals="1" fieldPosition="0">
        <references count="3">
          <reference field="4294967294" count="1" selected="0">
            <x v="2"/>
          </reference>
          <reference field="1" count="0"/>
          <reference field="3" count="1" selected="0">
            <x v="1"/>
          </reference>
        </references>
      </pivotArea>
    </format>
    <format dxfId="217">
      <pivotArea field="1" grandCol="1" collapsedLevelsAreSubtotals="1" axis="axisRow" fieldPosition="0">
        <references count="2">
          <reference field="4294967294" count="1" selected="0">
            <x v="1"/>
          </reference>
          <reference field="1" count="0"/>
        </references>
      </pivotArea>
    </format>
    <format dxfId="216">
      <pivotArea field="1" grandCol="1" collapsedLevelsAreSubtotals="1" axis="axisRow" fieldPosition="0">
        <references count="2">
          <reference field="4294967294" count="1" selected="0">
            <x v="2"/>
          </reference>
          <reference field="1" count="0"/>
        </references>
      </pivotArea>
    </format>
    <format dxfId="214">
      <pivotArea outline="0" collapsedLevelsAreSubtotals="1" fieldPosition="0">
        <references count="2">
          <reference field="4294967294" count="1" selected="0">
            <x v="3"/>
          </reference>
          <reference field="3" count="1" selected="0">
            <x v="0"/>
          </reference>
        </references>
      </pivotArea>
    </format>
    <format dxfId="213">
      <pivotArea outline="0" collapsedLevelsAreSubtotals="1" fieldPosition="0">
        <references count="2">
          <reference field="4294967294" count="1" selected="0">
            <x v="3"/>
          </reference>
          <reference field="3" count="1" selected="0">
            <x v="1"/>
          </reference>
        </references>
      </pivotArea>
    </format>
    <format dxfId="212">
      <pivotArea outline="0" collapsedLevelsAreSubtotals="1" fieldPosition="0">
        <references count="2">
          <reference field="4294967294" count="1" selected="0">
            <x v="3"/>
          </reference>
          <reference field="3" count="1" selected="0">
            <x v="2"/>
          </reference>
        </references>
      </pivotArea>
    </format>
    <format dxfId="211">
      <pivotArea field="3" grandCol="1" outline="0" collapsedLevelsAreSubtotals="1" axis="axisCol" fieldPosition="0">
        <references count="1">
          <reference field="4294967294" count="1" selected="0">
            <x v="3"/>
          </reference>
        </references>
      </pivotArea>
    </format>
    <format dxfId="69">
      <pivotArea type="all" dataOnly="0" outline="0" fieldPosition="0"/>
    </format>
    <format dxfId="52">
      <pivotArea outline="0" collapsedLevelsAreSubtotals="1" fieldPosition="0"/>
    </format>
    <format dxfId="51">
      <pivotArea type="origin" dataOnly="0" labelOnly="1" outline="0" fieldPosition="0"/>
    </format>
    <format dxfId="50">
      <pivotArea field="3" type="button" dataOnly="0" labelOnly="1" outline="0" axis="axisCol" fieldPosition="0"/>
    </format>
    <format dxfId="49">
      <pivotArea field="-2" type="button" dataOnly="0" labelOnly="1" outline="0" axis="axisCol" fieldPosition="1"/>
    </format>
    <format dxfId="48">
      <pivotArea type="topRight" dataOnly="0" labelOnly="1" outline="0"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fieldPosition="0">
        <references count="1">
          <reference field="3" count="0"/>
        </references>
      </pivotArea>
    </format>
    <format dxfId="36">
      <pivotArea field="3" dataOnly="0" labelOnly="1" grandCol="1" outline="0" axis="axisCol" fieldPosition="0">
        <references count="1">
          <reference field="4294967294" count="1" selected="0">
            <x v="0"/>
          </reference>
        </references>
      </pivotArea>
    </format>
    <format dxfId="34">
      <pivotArea field="3" dataOnly="0" labelOnly="1" grandCol="1" outline="0" axis="axisCol" fieldPosition="0">
        <references count="1">
          <reference field="4294967294" count="1" selected="0">
            <x v="1"/>
          </reference>
        </references>
      </pivotArea>
    </format>
    <format dxfId="32">
      <pivotArea field="3" dataOnly="0" labelOnly="1" grandCol="1" outline="0" axis="axisCol" fieldPosition="0">
        <references count="1">
          <reference field="4294967294" count="1" selected="0">
            <x v="2"/>
          </reference>
        </references>
      </pivotArea>
    </format>
    <format dxfId="30">
      <pivotArea field="3" dataOnly="0" labelOnly="1" grandCol="1" outline="0" axis="axisCol" fieldPosition="0">
        <references count="1">
          <reference field="4294967294" count="1" selected="0">
            <x v="3"/>
          </reference>
        </references>
      </pivotArea>
    </format>
    <format dxfId="28">
      <pivotArea dataOnly="0" labelOnly="1" outline="0" fieldPosition="0">
        <references count="2">
          <reference field="4294967294" count="4">
            <x v="0"/>
            <x v="1"/>
            <x v="2"/>
            <x v="3"/>
          </reference>
          <reference field="3" count="1" selected="0">
            <x v="0"/>
          </reference>
        </references>
      </pivotArea>
    </format>
    <format dxfId="27">
      <pivotArea dataOnly="0" labelOnly="1" outline="0" fieldPosition="0">
        <references count="2">
          <reference field="4294967294" count="4">
            <x v="0"/>
            <x v="1"/>
            <x v="2"/>
            <x v="3"/>
          </reference>
          <reference field="3" count="1" selected="0">
            <x v="1"/>
          </reference>
        </references>
      </pivotArea>
    </format>
    <format dxfId="26">
      <pivotArea dataOnly="0" labelOnly="1" outline="0" fieldPosition="0">
        <references count="2">
          <reference field="4294967294" count="4">
            <x v="0"/>
            <x v="1"/>
            <x v="2"/>
            <x v="3"/>
          </reference>
          <reference field="3"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102AF-5312-4E4D-885F-D6AB7D3A4EF4}" name="PivotTable12"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0:C52" firstHeaderRow="0" firstDataRow="1" firstDataCol="1" rowPageCount="1" colPageCount="1"/>
  <pivotFields count="9">
    <pivotField showAll="0">
      <items count="13">
        <item x="0"/>
        <item x="7"/>
        <item x="11"/>
        <item x="9"/>
        <item x="5"/>
        <item x="6"/>
        <item x="3"/>
        <item x="10"/>
        <item x="8"/>
        <item x="2"/>
        <item x="1"/>
        <item x="4"/>
        <item t="default"/>
      </items>
    </pivotField>
    <pivotField axis="axisRow" showAll="0" sortType="descending">
      <items count="13">
        <item x="0"/>
        <item x="2"/>
        <item x="1"/>
        <item x="4"/>
        <item x="7"/>
        <item x="11"/>
        <item x="9"/>
        <item x="5"/>
        <item x="6"/>
        <item x="3"/>
        <item x="10"/>
        <item x="8"/>
        <item t="default"/>
      </items>
      <autoSortScope>
        <pivotArea dataOnly="0" outline="0" fieldPosition="0">
          <references count="1">
            <reference field="4294967294" count="1" selected="0">
              <x v="1"/>
            </reference>
          </references>
        </pivotArea>
      </autoSortScope>
    </pivotField>
    <pivotField showAll="0"/>
    <pivotField showAll="0"/>
    <pivotField axis="axisPage" showAll="0">
      <items count="4">
        <item x="1"/>
        <item x="0"/>
        <item x="2"/>
        <item t="default"/>
      </items>
    </pivotField>
    <pivotField dataField="1" showAll="0"/>
    <pivotField numFmtId="14" showAll="0"/>
    <pivotField numFmtId="14" showAll="0"/>
    <pivotField dataField="1" showAll="0"/>
  </pivotFields>
  <rowFields count="1">
    <field x="1"/>
  </rowFields>
  <rowItems count="12">
    <i>
      <x/>
    </i>
    <i>
      <x v="2"/>
    </i>
    <i>
      <x v="1"/>
    </i>
    <i>
      <x v="9"/>
    </i>
    <i>
      <x v="3"/>
    </i>
    <i>
      <x v="7"/>
    </i>
    <i>
      <x v="8"/>
    </i>
    <i>
      <x v="4"/>
    </i>
    <i>
      <x v="6"/>
    </i>
    <i>
      <x v="10"/>
    </i>
    <i>
      <x v="11"/>
    </i>
    <i>
      <x v="5"/>
    </i>
  </rowItems>
  <colFields count="1">
    <field x="-2"/>
  </colFields>
  <colItems count="2">
    <i>
      <x/>
    </i>
    <i i="1">
      <x v="1"/>
    </i>
  </colItems>
  <pageFields count="1">
    <pageField fld="4" hier="-1"/>
  </pageFields>
  <dataFields count="2">
    <dataField name="Average PDC" fld="5" subtotal="average" baseField="0" baseItem="0" numFmtId="9"/>
    <dataField name="Days Since Runout" fld="8" subtotal="max" baseField="0" baseItem="0"/>
  </dataFields>
  <formats count="6">
    <format dxfId="215">
      <pivotArea outline="0" collapsedLevelsAreSubtotals="1" fieldPosition="0">
        <references count="1">
          <reference field="4294967294" count="1" selected="0">
            <x v="0"/>
          </reference>
        </references>
      </pivotArea>
    </format>
    <format dxfId="79">
      <pivotArea type="all" dataOnly="0" outline="0" fieldPosition="0"/>
    </format>
    <format dxfId="73">
      <pivotArea outline="0" collapsedLevelsAreSubtotals="1" fieldPosition="0"/>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E645D0-37FE-BD40-B4BE-8B41A3B94961}" name="PivotTable1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6">
    <pivotField dataField="1" showAll="0"/>
    <pivotField axis="axisRow" showAll="0" sortType="ascending">
      <items count="4">
        <item x="2"/>
        <item x="0"/>
        <item x="1"/>
        <item t="default"/>
      </items>
    </pivotField>
    <pivotField showAll="0"/>
    <pivotField showAll="0"/>
    <pivotField showAll="0"/>
    <pivotField axis="axisCol" showAll="0">
      <items count="4">
        <item x="2"/>
        <item x="0"/>
        <item x="1"/>
        <item t="default"/>
      </items>
    </pivotField>
  </pivotFields>
  <rowFields count="1">
    <field x="1"/>
  </rowFields>
  <rowItems count="4">
    <i>
      <x/>
    </i>
    <i>
      <x v="1"/>
    </i>
    <i>
      <x v="2"/>
    </i>
    <i t="grand">
      <x/>
    </i>
  </rowItems>
  <colFields count="1">
    <field x="5"/>
  </colFields>
  <colItems count="4">
    <i>
      <x/>
    </i>
    <i>
      <x v="1"/>
    </i>
    <i>
      <x v="2"/>
    </i>
    <i t="grand">
      <x/>
    </i>
  </colItems>
  <dataFields count="1">
    <dataField name="Count of patient_id" fld="0" subtotal="count" baseField="0" baseItem="0"/>
  </dataFields>
  <formats count="13">
    <format dxfId="226">
      <pivotArea collapsedLevelsAreSubtotals="1" fieldPosition="0">
        <references count="2">
          <reference field="1" count="0"/>
          <reference field="5" count="1" selected="0">
            <x v="0"/>
          </reference>
        </references>
      </pivotArea>
    </format>
    <format dxfId="225">
      <pivotArea collapsedLevelsAreSubtotals="1" fieldPosition="0">
        <references count="2">
          <reference field="1" count="0"/>
          <reference field="5" count="1" selected="0">
            <x v="1"/>
          </reference>
        </references>
      </pivotArea>
    </format>
    <format dxfId="224">
      <pivotArea collapsedLevelsAreSubtotals="1" fieldPosition="0">
        <references count="2">
          <reference field="1" count="0"/>
          <reference field="5" count="1" selected="0">
            <x v="2"/>
          </reference>
        </references>
      </pivotArea>
    </format>
    <format dxfId="25">
      <pivotArea type="all" dataOnly="0" outline="0" fieldPosition="0"/>
    </format>
    <format dxfId="14">
      <pivotArea outline="0" collapsedLevelsAreSubtotals="1" fieldPosition="0"/>
    </format>
    <format dxfId="13">
      <pivotArea type="origin" dataOnly="0" labelOnly="1" outline="0" fieldPosition="0"/>
    </format>
    <format dxfId="12">
      <pivotArea field="5" type="button" dataOnly="0" labelOnly="1" outline="0" axis="axisCol" fieldPosition="0"/>
    </format>
    <format dxfId="11">
      <pivotArea type="topRight" dataOnly="0" labelOnly="1" outline="0"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fieldPosition="0">
        <references count="1">
          <reference field="5"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CC2313D-4CB0-9848-874E-B480813E2F27}" autoFormatId="16" applyNumberFormats="0" applyBorderFormats="0" applyFontFormats="0" applyPatternFormats="0" applyAlignmentFormats="0" applyWidthHeightFormats="0">
  <queryTableRefresh nextId="7">
    <queryTableFields count="6">
      <queryTableField id="1" name="patient_id" tableColumnId="1"/>
      <queryTableField id="2" name="drug_class" tableColumnId="2"/>
      <queryTableField id="3" name="covered_days" tableColumnId="3"/>
      <queryTableField id="4" name="period_days" tableColumnId="4"/>
      <queryTableField id="5" name="pdc" tableColumnId="5"/>
      <queryTableField id="6" name="risk_ban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F01752D4-D3D8-3449-A074-679E401118A5}" autoFormatId="16" applyNumberFormats="0" applyBorderFormats="0" applyFontFormats="0" applyPatternFormats="0" applyAlignmentFormats="0" applyWidthHeightFormats="0">
  <queryTableRefresh nextId="13">
    <queryTableFields count="11">
      <queryTableField id="1" name="provider_id" tableColumnId="1"/>
      <queryTableField id="2" name="provider_name" tableColumnId="2"/>
      <queryTableField id="3" name="clinic" tableColumnId="3"/>
      <queryTableField id="4" name="drug_class" tableColumnId="4"/>
      <queryTableField id="5" name="patients_in_class" tableColumnId="5"/>
      <queryTableField id="6" name="pct_adherent" tableColumnId="6"/>
      <queryTableField id="12" dataBound="0" tableColumnId="17"/>
      <queryTableField id="11" dataBound="0" tableColumnId="16"/>
      <queryTableField id="7" name="pct_high_risk" tableColumnId="7"/>
      <queryTableField id="10" dataBound="0" tableColumnId="15"/>
      <queryTableField id="8" name="avg_pdc"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3048650-3B5B-B74A-B40B-E135F0D8D65A}" autoFormatId="16" applyNumberFormats="0" applyBorderFormats="0" applyFontFormats="0" applyPatternFormats="0" applyAlignmentFormats="0" applyWidthHeightFormats="0">
  <queryTableRefresh nextId="10">
    <queryTableFields count="9">
      <queryTableField id="1" name="provider_id" tableColumnId="1"/>
      <queryTableField id="2" name="provider_name" tableColumnId="2"/>
      <queryTableField id="3" name="clinic" tableColumnId="3"/>
      <queryTableField id="4" name="patient_id" tableColumnId="4"/>
      <queryTableField id="5" name="drug_class" tableColumnId="5"/>
      <queryTableField id="6" name="pdc" tableColumnId="6"/>
      <queryTableField id="7" name="last_fill_date" tableColumnId="7"/>
      <queryTableField id="8" name="estimated_runout_date" tableColumnId="8"/>
      <queryTableField id="9" name="days_since_runout_by_period_en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der_id" xr10:uid="{A3B0A4EE-D146-7648-8239-8086F975BD99}" sourceName="provider_id">
  <pivotTables>
    <pivotTable tabId="14" name="PivotTable11"/>
  </pivotTables>
  <data>
    <tabular pivotCacheId="78478862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_class" xr10:uid="{3F5B43C6-C540-D847-BE1B-68EED4E629BB}" sourceName="drug_class">
  <pivotTables>
    <pivotTable tabId="14" name="PivotTable11"/>
  </pivotTables>
  <data>
    <tabular pivotCacheId="7847886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der_id" xr10:uid="{22360EEF-04BF-7E4F-90F0-6A2F5626C0FC}" cache="Slicer_provider_id" caption="provider_id" rowHeight="251883"/>
  <slicer name="drug_class" xr10:uid="{D8A86C33-5D0D-AE40-B21A-C4E8F9643558}" cache="Slicer_drug_class" caption="drug_clas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53E838-62E8-6148-9252-9B2121617419}" name="pdc_results" displayName="pdc_results" ref="A1:F308" tableType="queryTable" totalsRowShown="0">
  <autoFilter ref="A1:F308" xr:uid="{5C53E838-62E8-6148-9252-9B2121617419}"/>
  <tableColumns count="6">
    <tableColumn id="1" xr3:uid="{BB4AB876-F7AC-F441-A1F6-408F7E9FE0BD}" uniqueName="1" name="patient_id" queryTableFieldId="1" dataDxfId="245"/>
    <tableColumn id="2" xr3:uid="{8FE3691B-7EA9-F946-92D4-9741C777652D}" uniqueName="2" name="drug_class" queryTableFieldId="2" dataDxfId="244"/>
    <tableColumn id="3" xr3:uid="{CEAE76F2-5AFC-7C4E-8A95-DE07EFC4719B}" uniqueName="3" name="covered_days" queryTableFieldId="3"/>
    <tableColumn id="4" xr3:uid="{58C8AA37-D063-B44E-A407-0346F7937EF2}" uniqueName="4" name="period_days" queryTableFieldId="4"/>
    <tableColumn id="5" xr3:uid="{8AD45FD3-7B32-604E-AFE1-7F93FF05C735}" uniqueName="5" name="pdc" queryTableFieldId="5"/>
    <tableColumn id="6" xr3:uid="{1F45348C-D09F-3540-9137-E4ED5A1BB3BB}" uniqueName="6" name="risk_band" queryTableFieldId="6" dataDxfId="2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565D7E-9BE8-6D4A-8D2C-EB1DD78C6CF6}" name="provider_panel" displayName="provider_panel" ref="A1:K37" tableType="queryTable" totalsRowShown="0">
  <autoFilter ref="A1:K37" xr:uid="{BE565D7E-9BE8-6D4A-8D2C-EB1DD78C6CF6}"/>
  <tableColumns count="11">
    <tableColumn id="1" xr3:uid="{3CD673D8-2EF4-A34C-8792-6459CF3963F1}" uniqueName="1" name="provider_id" queryTableFieldId="1" dataDxfId="235"/>
    <tableColumn id="2" xr3:uid="{83EFE58E-A57A-DF48-836D-E66503B308A8}" uniqueName="2" name="provider_name" queryTableFieldId="2" dataDxfId="234"/>
    <tableColumn id="3" xr3:uid="{7EA03229-E6B0-AD42-B67D-1DE54A728333}" uniqueName="3" name="clinic" queryTableFieldId="3" dataDxfId="233"/>
    <tableColumn id="4" xr3:uid="{0A9DE328-3C8E-D047-BEA0-932FBA01D3E3}" uniqueName="4" name="drug_class" queryTableFieldId="4" dataDxfId="232"/>
    <tableColumn id="5" xr3:uid="{0F5914D5-E6F0-BA44-B9CF-9CF4130D4172}" uniqueName="5" name="patients_in_class" queryTableFieldId="5"/>
    <tableColumn id="6" xr3:uid="{E3C78629-0AE1-E043-9476-D2773686020A}" uniqueName="6" name="pct_adherent" queryTableFieldId="6" dataDxfId="231" dataCellStyle="Percent"/>
    <tableColumn id="17" xr3:uid="{EFF13033-E0E1-FC43-BF23-BA736E013E2D}" uniqueName="17" name="Column1" queryTableFieldId="12" dataDxfId="227" dataCellStyle="Percent"/>
    <tableColumn id="16" xr3:uid="{E90903F6-BF21-754B-A2D8-619C41A21A38}" uniqueName="16" name="pct_adherent_helper" queryTableFieldId="11" dataDxfId="230" dataCellStyle="Percent">
      <calculatedColumnFormula>provider_panel[[#This Row],[pct_adherent]] / 100</calculatedColumnFormula>
    </tableColumn>
    <tableColumn id="7" xr3:uid="{20BA0D4E-B3F8-BC47-9E9F-48D2EEF6751E}" uniqueName="7" name="pct_high_risk" queryTableFieldId="7" dataDxfId="229"/>
    <tableColumn id="15" xr3:uid="{AFD6F7F0-4832-494F-B3F6-6D63CC1E2E51}" uniqueName="15" name="pct_high_risk_helper" queryTableFieldId="10" dataDxfId="228">
      <calculatedColumnFormula>provider_panel[[#This Row],[pct_high_risk]] / 100</calculatedColumnFormula>
    </tableColumn>
    <tableColumn id="8" xr3:uid="{05A0DD01-F0E9-444A-9EB3-52B8C3BBC13E}" uniqueName="8" name="avg_pdc"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DB61F1-EEC2-584B-8703-3DA2B77B9308}" name="DATA_HIGH_RISK" displayName="DATA_HIGH_RISK" ref="A1:I62" tableType="queryTable" totalsRowShown="0">
  <autoFilter ref="A1:I62" xr:uid="{A2DB61F1-EEC2-584B-8703-3DA2B77B9308}"/>
  <tableColumns count="9">
    <tableColumn id="1" xr3:uid="{AB97CEE0-AD28-2645-8596-904BB60854F2}" uniqueName="1" name="provider_id" queryTableFieldId="1" dataDxfId="242"/>
    <tableColumn id="2" xr3:uid="{4A84A72F-08F3-5A4A-B438-74BB6C866B6C}" uniqueName="2" name="provider_name" queryTableFieldId="2" dataDxfId="241"/>
    <tableColumn id="3" xr3:uid="{38C6E0BF-F304-F24E-89D2-D145E0DAD0F2}" uniqueName="3" name="clinic" queryTableFieldId="3" dataDxfId="240"/>
    <tableColumn id="4" xr3:uid="{67FEAF13-031A-454D-85EE-EC12C4F0A2B2}" uniqueName="4" name="patient_id" queryTableFieldId="4" dataDxfId="239"/>
    <tableColumn id="5" xr3:uid="{B9B5041D-BD72-104E-956E-F2C69C38AAED}" uniqueName="5" name="drug_class" queryTableFieldId="5" dataDxfId="238"/>
    <tableColumn id="6" xr3:uid="{2B078718-CAFB-7943-ABC4-CE86F508C39B}" uniqueName="6" name="pdc" queryTableFieldId="6"/>
    <tableColumn id="7" xr3:uid="{CBE0CD12-9206-594A-8DD4-0F9511A01243}" uniqueName="7" name="last_fill_date" queryTableFieldId="7" dataDxfId="237"/>
    <tableColumn id="8" xr3:uid="{5DEB4897-5C78-A744-A321-9DE38188E453}" uniqueName="8" name="estimated_runout_date" queryTableFieldId="8" dataDxfId="236"/>
    <tableColumn id="9" xr3:uid="{5F25F278-F69B-594D-AB62-B0CDA3E459B2}" uniqueName="9" name="days_since_runout_by_period_end"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BC74-683A-8249-912E-4EF359EF205C}">
  <dimension ref="A1:F308"/>
  <sheetViews>
    <sheetView workbookViewId="0">
      <selection activeCell="H44" sqref="H44"/>
    </sheetView>
  </sheetViews>
  <sheetFormatPr baseColWidth="10" defaultRowHeight="16" x14ac:dyDescent="0.2"/>
  <cols>
    <col min="1" max="1" width="11.83203125" bestFit="1" customWidth="1"/>
    <col min="2" max="2" width="12.6640625" bestFit="1" customWidth="1"/>
    <col min="3" max="3" width="14.83203125" bestFit="1" customWidth="1"/>
    <col min="4" max="4" width="13.5" bestFit="1" customWidth="1"/>
    <col min="5" max="5" width="6.6640625" bestFit="1" customWidth="1"/>
    <col min="6" max="6" width="12.6640625" bestFit="1" customWidth="1"/>
  </cols>
  <sheetData>
    <row r="1" spans="1:6" x14ac:dyDescent="0.2">
      <c r="A1" t="s">
        <v>0</v>
      </c>
      <c r="B1" t="s">
        <v>1</v>
      </c>
      <c r="C1" t="s">
        <v>2</v>
      </c>
      <c r="D1" t="s">
        <v>3</v>
      </c>
      <c r="E1" t="s">
        <v>4</v>
      </c>
      <c r="F1" t="s">
        <v>5</v>
      </c>
    </row>
    <row r="2" spans="1:6" x14ac:dyDescent="0.2">
      <c r="A2" s="1" t="s">
        <v>6</v>
      </c>
      <c r="B2" s="1" t="s">
        <v>7</v>
      </c>
      <c r="C2">
        <v>30</v>
      </c>
      <c r="D2">
        <v>184</v>
      </c>
      <c r="E2">
        <v>0.16300000000000001</v>
      </c>
      <c r="F2" s="1" t="s">
        <v>8</v>
      </c>
    </row>
    <row r="3" spans="1:6" x14ac:dyDescent="0.2">
      <c r="A3" s="1" t="s">
        <v>9</v>
      </c>
      <c r="B3" s="1" t="s">
        <v>10</v>
      </c>
      <c r="C3">
        <v>30</v>
      </c>
      <c r="D3">
        <v>184</v>
      </c>
      <c r="E3">
        <v>0.16300000000000001</v>
      </c>
      <c r="F3" s="1" t="s">
        <v>8</v>
      </c>
    </row>
    <row r="4" spans="1:6" x14ac:dyDescent="0.2">
      <c r="A4" s="1" t="s">
        <v>11</v>
      </c>
      <c r="B4" s="1" t="s">
        <v>12</v>
      </c>
      <c r="C4">
        <v>30</v>
      </c>
      <c r="D4">
        <v>184</v>
      </c>
      <c r="E4">
        <v>0.16300000000000001</v>
      </c>
      <c r="F4" s="1" t="s">
        <v>8</v>
      </c>
    </row>
    <row r="5" spans="1:6" x14ac:dyDescent="0.2">
      <c r="A5" s="1" t="s">
        <v>13</v>
      </c>
      <c r="B5" s="1" t="s">
        <v>12</v>
      </c>
      <c r="C5">
        <v>60</v>
      </c>
      <c r="D5">
        <v>184</v>
      </c>
      <c r="E5">
        <v>0.32600000000000001</v>
      </c>
      <c r="F5" s="1" t="s">
        <v>8</v>
      </c>
    </row>
    <row r="6" spans="1:6" x14ac:dyDescent="0.2">
      <c r="A6" s="1" t="s">
        <v>14</v>
      </c>
      <c r="B6" s="1" t="s">
        <v>7</v>
      </c>
      <c r="C6">
        <v>60</v>
      </c>
      <c r="D6">
        <v>184</v>
      </c>
      <c r="E6">
        <v>0.32600000000000001</v>
      </c>
      <c r="F6" s="1" t="s">
        <v>8</v>
      </c>
    </row>
    <row r="7" spans="1:6" x14ac:dyDescent="0.2">
      <c r="A7" s="1" t="s">
        <v>15</v>
      </c>
      <c r="B7" s="1" t="s">
        <v>7</v>
      </c>
      <c r="C7">
        <v>60</v>
      </c>
      <c r="D7">
        <v>184</v>
      </c>
      <c r="E7">
        <v>0.32600000000000001</v>
      </c>
      <c r="F7" s="1" t="s">
        <v>8</v>
      </c>
    </row>
    <row r="8" spans="1:6" x14ac:dyDescent="0.2">
      <c r="A8" s="1" t="s">
        <v>16</v>
      </c>
      <c r="B8" s="1" t="s">
        <v>10</v>
      </c>
      <c r="C8">
        <v>60</v>
      </c>
      <c r="D8">
        <v>184</v>
      </c>
      <c r="E8">
        <v>0.32600000000000001</v>
      </c>
      <c r="F8" s="1" t="s">
        <v>8</v>
      </c>
    </row>
    <row r="9" spans="1:6" x14ac:dyDescent="0.2">
      <c r="A9" s="1" t="s">
        <v>17</v>
      </c>
      <c r="B9" s="1" t="s">
        <v>7</v>
      </c>
      <c r="C9">
        <v>60</v>
      </c>
      <c r="D9">
        <v>184</v>
      </c>
      <c r="E9">
        <v>0.32600000000000001</v>
      </c>
      <c r="F9" s="1" t="s">
        <v>8</v>
      </c>
    </row>
    <row r="10" spans="1:6" x14ac:dyDescent="0.2">
      <c r="A10" s="1" t="s">
        <v>18</v>
      </c>
      <c r="B10" s="1" t="s">
        <v>10</v>
      </c>
      <c r="C10">
        <v>60</v>
      </c>
      <c r="D10">
        <v>184</v>
      </c>
      <c r="E10">
        <v>0.32600000000000001</v>
      </c>
      <c r="F10" s="1" t="s">
        <v>8</v>
      </c>
    </row>
    <row r="11" spans="1:6" x14ac:dyDescent="0.2">
      <c r="A11" s="1" t="s">
        <v>19</v>
      </c>
      <c r="B11" s="1" t="s">
        <v>12</v>
      </c>
      <c r="C11">
        <v>79</v>
      </c>
      <c r="D11">
        <v>184</v>
      </c>
      <c r="E11">
        <v>0.42899999999999999</v>
      </c>
      <c r="F11" s="1" t="s">
        <v>8</v>
      </c>
    </row>
    <row r="12" spans="1:6" x14ac:dyDescent="0.2">
      <c r="A12" s="1" t="s">
        <v>20</v>
      </c>
      <c r="B12" s="1" t="s">
        <v>7</v>
      </c>
      <c r="C12">
        <v>86</v>
      </c>
      <c r="D12">
        <v>184</v>
      </c>
      <c r="E12">
        <v>0.46700000000000003</v>
      </c>
      <c r="F12" s="1" t="s">
        <v>8</v>
      </c>
    </row>
    <row r="13" spans="1:6" x14ac:dyDescent="0.2">
      <c r="A13" s="1" t="s">
        <v>21</v>
      </c>
      <c r="B13" s="1" t="s">
        <v>12</v>
      </c>
      <c r="C13">
        <v>88</v>
      </c>
      <c r="D13">
        <v>184</v>
      </c>
      <c r="E13">
        <v>0.47799999999999998</v>
      </c>
      <c r="F13" s="1" t="s">
        <v>8</v>
      </c>
    </row>
    <row r="14" spans="1:6" x14ac:dyDescent="0.2">
      <c r="A14" s="1" t="s">
        <v>22</v>
      </c>
      <c r="B14" s="1" t="s">
        <v>12</v>
      </c>
      <c r="C14">
        <v>90</v>
      </c>
      <c r="D14">
        <v>184</v>
      </c>
      <c r="E14">
        <v>0.48899999999999999</v>
      </c>
      <c r="F14" s="1" t="s">
        <v>8</v>
      </c>
    </row>
    <row r="15" spans="1:6" x14ac:dyDescent="0.2">
      <c r="A15" s="1" t="s">
        <v>22</v>
      </c>
      <c r="B15" s="1" t="s">
        <v>10</v>
      </c>
      <c r="C15">
        <v>90</v>
      </c>
      <c r="D15">
        <v>184</v>
      </c>
      <c r="E15">
        <v>0.48899999999999999</v>
      </c>
      <c r="F15" s="1" t="s">
        <v>8</v>
      </c>
    </row>
    <row r="16" spans="1:6" x14ac:dyDescent="0.2">
      <c r="A16" s="1" t="s">
        <v>23</v>
      </c>
      <c r="B16" s="1" t="s">
        <v>10</v>
      </c>
      <c r="C16">
        <v>90</v>
      </c>
      <c r="D16">
        <v>184</v>
      </c>
      <c r="E16">
        <v>0.48899999999999999</v>
      </c>
      <c r="F16" s="1" t="s">
        <v>8</v>
      </c>
    </row>
    <row r="17" spans="1:6" x14ac:dyDescent="0.2">
      <c r="A17" s="1" t="s">
        <v>24</v>
      </c>
      <c r="B17" s="1" t="s">
        <v>7</v>
      </c>
      <c r="C17">
        <v>90</v>
      </c>
      <c r="D17">
        <v>184</v>
      </c>
      <c r="E17">
        <v>0.48899999999999999</v>
      </c>
      <c r="F17" s="1" t="s">
        <v>8</v>
      </c>
    </row>
    <row r="18" spans="1:6" x14ac:dyDescent="0.2">
      <c r="A18" s="1" t="s">
        <v>25</v>
      </c>
      <c r="B18" s="1" t="s">
        <v>12</v>
      </c>
      <c r="C18">
        <v>90</v>
      </c>
      <c r="D18">
        <v>184</v>
      </c>
      <c r="E18">
        <v>0.48899999999999999</v>
      </c>
      <c r="F18" s="1" t="s">
        <v>8</v>
      </c>
    </row>
    <row r="19" spans="1:6" x14ac:dyDescent="0.2">
      <c r="A19" s="1" t="s">
        <v>26</v>
      </c>
      <c r="B19" s="1" t="s">
        <v>7</v>
      </c>
      <c r="C19">
        <v>90</v>
      </c>
      <c r="D19">
        <v>184</v>
      </c>
      <c r="E19">
        <v>0.48899999999999999</v>
      </c>
      <c r="F19" s="1" t="s">
        <v>8</v>
      </c>
    </row>
    <row r="20" spans="1:6" x14ac:dyDescent="0.2">
      <c r="A20" s="1" t="s">
        <v>27</v>
      </c>
      <c r="B20" s="1" t="s">
        <v>7</v>
      </c>
      <c r="C20">
        <v>90</v>
      </c>
      <c r="D20">
        <v>184</v>
      </c>
      <c r="E20">
        <v>0.48899999999999999</v>
      </c>
      <c r="F20" s="1" t="s">
        <v>8</v>
      </c>
    </row>
    <row r="21" spans="1:6" x14ac:dyDescent="0.2">
      <c r="A21" s="1" t="s">
        <v>28</v>
      </c>
      <c r="B21" s="1" t="s">
        <v>7</v>
      </c>
      <c r="C21">
        <v>90</v>
      </c>
      <c r="D21">
        <v>184</v>
      </c>
      <c r="E21">
        <v>0.48899999999999999</v>
      </c>
      <c r="F21" s="1" t="s">
        <v>8</v>
      </c>
    </row>
    <row r="22" spans="1:6" x14ac:dyDescent="0.2">
      <c r="A22" s="1" t="s">
        <v>29</v>
      </c>
      <c r="B22" s="1" t="s">
        <v>7</v>
      </c>
      <c r="C22">
        <v>90</v>
      </c>
      <c r="D22">
        <v>184</v>
      </c>
      <c r="E22">
        <v>0.48899999999999999</v>
      </c>
      <c r="F22" s="1" t="s">
        <v>8</v>
      </c>
    </row>
    <row r="23" spans="1:6" x14ac:dyDescent="0.2">
      <c r="A23" s="1" t="s">
        <v>30</v>
      </c>
      <c r="B23" s="1" t="s">
        <v>12</v>
      </c>
      <c r="C23">
        <v>90</v>
      </c>
      <c r="D23">
        <v>184</v>
      </c>
      <c r="E23">
        <v>0.48899999999999999</v>
      </c>
      <c r="F23" s="1" t="s">
        <v>8</v>
      </c>
    </row>
    <row r="24" spans="1:6" x14ac:dyDescent="0.2">
      <c r="A24" s="1" t="s">
        <v>31</v>
      </c>
      <c r="B24" s="1" t="s">
        <v>7</v>
      </c>
      <c r="C24">
        <v>90</v>
      </c>
      <c r="D24">
        <v>184</v>
      </c>
      <c r="E24">
        <v>0.48899999999999999</v>
      </c>
      <c r="F24" s="1" t="s">
        <v>8</v>
      </c>
    </row>
    <row r="25" spans="1:6" x14ac:dyDescent="0.2">
      <c r="A25" s="1" t="s">
        <v>32</v>
      </c>
      <c r="B25" s="1" t="s">
        <v>12</v>
      </c>
      <c r="C25">
        <v>90</v>
      </c>
      <c r="D25">
        <v>184</v>
      </c>
      <c r="E25">
        <v>0.48899999999999999</v>
      </c>
      <c r="F25" s="1" t="s">
        <v>8</v>
      </c>
    </row>
    <row r="26" spans="1:6" x14ac:dyDescent="0.2">
      <c r="A26" s="1" t="s">
        <v>33</v>
      </c>
      <c r="B26" s="1" t="s">
        <v>7</v>
      </c>
      <c r="C26">
        <v>90</v>
      </c>
      <c r="D26">
        <v>184</v>
      </c>
      <c r="E26">
        <v>0.48899999999999999</v>
      </c>
      <c r="F26" s="1" t="s">
        <v>8</v>
      </c>
    </row>
    <row r="27" spans="1:6" x14ac:dyDescent="0.2">
      <c r="A27" s="1" t="s">
        <v>34</v>
      </c>
      <c r="B27" s="1" t="s">
        <v>12</v>
      </c>
      <c r="C27">
        <v>90</v>
      </c>
      <c r="D27">
        <v>184</v>
      </c>
      <c r="E27">
        <v>0.48899999999999999</v>
      </c>
      <c r="F27" s="1" t="s">
        <v>8</v>
      </c>
    </row>
    <row r="28" spans="1:6" x14ac:dyDescent="0.2">
      <c r="A28" s="1" t="s">
        <v>35</v>
      </c>
      <c r="B28" s="1" t="s">
        <v>7</v>
      </c>
      <c r="C28">
        <v>90</v>
      </c>
      <c r="D28">
        <v>184</v>
      </c>
      <c r="E28">
        <v>0.48899999999999999</v>
      </c>
      <c r="F28" s="1" t="s">
        <v>8</v>
      </c>
    </row>
    <row r="29" spans="1:6" x14ac:dyDescent="0.2">
      <c r="A29" s="1" t="s">
        <v>36</v>
      </c>
      <c r="B29" s="1" t="s">
        <v>7</v>
      </c>
      <c r="C29">
        <v>90</v>
      </c>
      <c r="D29">
        <v>184</v>
      </c>
      <c r="E29">
        <v>0.48899999999999999</v>
      </c>
      <c r="F29" s="1" t="s">
        <v>8</v>
      </c>
    </row>
    <row r="30" spans="1:6" x14ac:dyDescent="0.2">
      <c r="A30" s="1" t="s">
        <v>37</v>
      </c>
      <c r="B30" s="1" t="s">
        <v>12</v>
      </c>
      <c r="C30">
        <v>90</v>
      </c>
      <c r="D30">
        <v>184</v>
      </c>
      <c r="E30">
        <v>0.48899999999999999</v>
      </c>
      <c r="F30" s="1" t="s">
        <v>8</v>
      </c>
    </row>
    <row r="31" spans="1:6" x14ac:dyDescent="0.2">
      <c r="A31" s="1" t="s">
        <v>38</v>
      </c>
      <c r="B31" s="1" t="s">
        <v>7</v>
      </c>
      <c r="C31">
        <v>90</v>
      </c>
      <c r="D31">
        <v>184</v>
      </c>
      <c r="E31">
        <v>0.48899999999999999</v>
      </c>
      <c r="F31" s="1" t="s">
        <v>8</v>
      </c>
    </row>
    <row r="32" spans="1:6" x14ac:dyDescent="0.2">
      <c r="A32" s="1" t="s">
        <v>39</v>
      </c>
      <c r="B32" s="1" t="s">
        <v>12</v>
      </c>
      <c r="C32">
        <v>90</v>
      </c>
      <c r="D32">
        <v>184</v>
      </c>
      <c r="E32">
        <v>0.48899999999999999</v>
      </c>
      <c r="F32" s="1" t="s">
        <v>8</v>
      </c>
    </row>
    <row r="33" spans="1:6" x14ac:dyDescent="0.2">
      <c r="A33" s="1" t="s">
        <v>40</v>
      </c>
      <c r="B33" s="1" t="s">
        <v>12</v>
      </c>
      <c r="C33">
        <v>90</v>
      </c>
      <c r="D33">
        <v>184</v>
      </c>
      <c r="E33">
        <v>0.48899999999999999</v>
      </c>
      <c r="F33" s="1" t="s">
        <v>8</v>
      </c>
    </row>
    <row r="34" spans="1:6" x14ac:dyDescent="0.2">
      <c r="A34" s="1" t="s">
        <v>41</v>
      </c>
      <c r="B34" s="1" t="s">
        <v>10</v>
      </c>
      <c r="C34">
        <v>90</v>
      </c>
      <c r="D34">
        <v>184</v>
      </c>
      <c r="E34">
        <v>0.48899999999999999</v>
      </c>
      <c r="F34" s="1" t="s">
        <v>8</v>
      </c>
    </row>
    <row r="35" spans="1:6" x14ac:dyDescent="0.2">
      <c r="A35" s="1" t="s">
        <v>42</v>
      </c>
      <c r="B35" s="1" t="s">
        <v>7</v>
      </c>
      <c r="C35">
        <v>90</v>
      </c>
      <c r="D35">
        <v>184</v>
      </c>
      <c r="E35">
        <v>0.48899999999999999</v>
      </c>
      <c r="F35" s="1" t="s">
        <v>8</v>
      </c>
    </row>
    <row r="36" spans="1:6" x14ac:dyDescent="0.2">
      <c r="A36" s="1" t="s">
        <v>43</v>
      </c>
      <c r="B36" s="1" t="s">
        <v>7</v>
      </c>
      <c r="C36">
        <v>90</v>
      </c>
      <c r="D36">
        <v>184</v>
      </c>
      <c r="E36">
        <v>0.48899999999999999</v>
      </c>
      <c r="F36" s="1" t="s">
        <v>8</v>
      </c>
    </row>
    <row r="37" spans="1:6" x14ac:dyDescent="0.2">
      <c r="A37" s="1" t="s">
        <v>44</v>
      </c>
      <c r="B37" s="1" t="s">
        <v>7</v>
      </c>
      <c r="C37">
        <v>90</v>
      </c>
      <c r="D37">
        <v>184</v>
      </c>
      <c r="E37">
        <v>0.48899999999999999</v>
      </c>
      <c r="F37" s="1" t="s">
        <v>8</v>
      </c>
    </row>
    <row r="38" spans="1:6" x14ac:dyDescent="0.2">
      <c r="A38" s="1" t="s">
        <v>45</v>
      </c>
      <c r="B38" s="1" t="s">
        <v>7</v>
      </c>
      <c r="C38">
        <v>90</v>
      </c>
      <c r="D38">
        <v>184</v>
      </c>
      <c r="E38">
        <v>0.48899999999999999</v>
      </c>
      <c r="F38" s="1" t="s">
        <v>8</v>
      </c>
    </row>
    <row r="39" spans="1:6" x14ac:dyDescent="0.2">
      <c r="A39" s="1" t="s">
        <v>46</v>
      </c>
      <c r="B39" s="1" t="s">
        <v>7</v>
      </c>
      <c r="C39">
        <v>90</v>
      </c>
      <c r="D39">
        <v>184</v>
      </c>
      <c r="E39">
        <v>0.48899999999999999</v>
      </c>
      <c r="F39" s="1" t="s">
        <v>8</v>
      </c>
    </row>
    <row r="40" spans="1:6" x14ac:dyDescent="0.2">
      <c r="A40" s="1" t="s">
        <v>47</v>
      </c>
      <c r="B40" s="1" t="s">
        <v>12</v>
      </c>
      <c r="C40">
        <v>90</v>
      </c>
      <c r="D40">
        <v>184</v>
      </c>
      <c r="E40">
        <v>0.48899999999999999</v>
      </c>
      <c r="F40" s="1" t="s">
        <v>8</v>
      </c>
    </row>
    <row r="41" spans="1:6" x14ac:dyDescent="0.2">
      <c r="A41" s="1" t="s">
        <v>48</v>
      </c>
      <c r="B41" s="1" t="s">
        <v>10</v>
      </c>
      <c r="C41">
        <v>90</v>
      </c>
      <c r="D41">
        <v>184</v>
      </c>
      <c r="E41">
        <v>0.48899999999999999</v>
      </c>
      <c r="F41" s="1" t="s">
        <v>8</v>
      </c>
    </row>
    <row r="42" spans="1:6" x14ac:dyDescent="0.2">
      <c r="A42" s="1" t="s">
        <v>49</v>
      </c>
      <c r="B42" s="1" t="s">
        <v>10</v>
      </c>
      <c r="C42">
        <v>90</v>
      </c>
      <c r="D42">
        <v>184</v>
      </c>
      <c r="E42">
        <v>0.48899999999999999</v>
      </c>
      <c r="F42" s="1" t="s">
        <v>8</v>
      </c>
    </row>
    <row r="43" spans="1:6" x14ac:dyDescent="0.2">
      <c r="A43" s="1" t="s">
        <v>50</v>
      </c>
      <c r="B43" s="1" t="s">
        <v>10</v>
      </c>
      <c r="C43">
        <v>92</v>
      </c>
      <c r="D43">
        <v>184</v>
      </c>
      <c r="E43">
        <v>0.5</v>
      </c>
      <c r="F43" s="1" t="s">
        <v>8</v>
      </c>
    </row>
    <row r="44" spans="1:6" x14ac:dyDescent="0.2">
      <c r="A44" s="1" t="s">
        <v>51</v>
      </c>
      <c r="B44" s="1" t="s">
        <v>12</v>
      </c>
      <c r="C44">
        <v>92</v>
      </c>
      <c r="D44">
        <v>184</v>
      </c>
      <c r="E44">
        <v>0.5</v>
      </c>
      <c r="F44" s="1" t="s">
        <v>8</v>
      </c>
    </row>
    <row r="45" spans="1:6" x14ac:dyDescent="0.2">
      <c r="A45" s="1" t="s">
        <v>46</v>
      </c>
      <c r="B45" s="1" t="s">
        <v>10</v>
      </c>
      <c r="C45">
        <v>93</v>
      </c>
      <c r="D45">
        <v>184</v>
      </c>
      <c r="E45">
        <v>0.505</v>
      </c>
      <c r="F45" s="1" t="s">
        <v>8</v>
      </c>
    </row>
    <row r="46" spans="1:6" x14ac:dyDescent="0.2">
      <c r="A46" s="1" t="s">
        <v>52</v>
      </c>
      <c r="B46" s="1" t="s">
        <v>7</v>
      </c>
      <c r="C46">
        <v>94</v>
      </c>
      <c r="D46">
        <v>184</v>
      </c>
      <c r="E46">
        <v>0.51100000000000001</v>
      </c>
      <c r="F46" s="1" t="s">
        <v>8</v>
      </c>
    </row>
    <row r="47" spans="1:6" x14ac:dyDescent="0.2">
      <c r="A47" s="1" t="s">
        <v>53</v>
      </c>
      <c r="B47" s="1" t="s">
        <v>7</v>
      </c>
      <c r="C47">
        <v>95</v>
      </c>
      <c r="D47">
        <v>184</v>
      </c>
      <c r="E47">
        <v>0.51600000000000001</v>
      </c>
      <c r="F47" s="1" t="s">
        <v>8</v>
      </c>
    </row>
    <row r="48" spans="1:6" x14ac:dyDescent="0.2">
      <c r="A48" s="1" t="s">
        <v>44</v>
      </c>
      <c r="B48" s="1" t="s">
        <v>12</v>
      </c>
      <c r="C48">
        <v>95</v>
      </c>
      <c r="D48">
        <v>184</v>
      </c>
      <c r="E48">
        <v>0.51600000000000001</v>
      </c>
      <c r="F48" s="1" t="s">
        <v>8</v>
      </c>
    </row>
    <row r="49" spans="1:6" x14ac:dyDescent="0.2">
      <c r="A49" s="1" t="s">
        <v>54</v>
      </c>
      <c r="B49" s="1" t="s">
        <v>12</v>
      </c>
      <c r="C49">
        <v>96</v>
      </c>
      <c r="D49">
        <v>184</v>
      </c>
      <c r="E49">
        <v>0.52200000000000002</v>
      </c>
      <c r="F49" s="1" t="s">
        <v>8</v>
      </c>
    </row>
    <row r="50" spans="1:6" x14ac:dyDescent="0.2">
      <c r="A50" s="1" t="s">
        <v>55</v>
      </c>
      <c r="B50" s="1" t="s">
        <v>10</v>
      </c>
      <c r="C50">
        <v>97</v>
      </c>
      <c r="D50">
        <v>184</v>
      </c>
      <c r="E50">
        <v>0.52700000000000002</v>
      </c>
      <c r="F50" s="1" t="s">
        <v>8</v>
      </c>
    </row>
    <row r="51" spans="1:6" x14ac:dyDescent="0.2">
      <c r="A51" s="1" t="s">
        <v>42</v>
      </c>
      <c r="B51" s="1" t="s">
        <v>12</v>
      </c>
      <c r="C51">
        <v>97</v>
      </c>
      <c r="D51">
        <v>184</v>
      </c>
      <c r="E51">
        <v>0.52700000000000002</v>
      </c>
      <c r="F51" s="1" t="s">
        <v>8</v>
      </c>
    </row>
    <row r="52" spans="1:6" x14ac:dyDescent="0.2">
      <c r="A52" s="1" t="s">
        <v>56</v>
      </c>
      <c r="B52" s="1" t="s">
        <v>10</v>
      </c>
      <c r="C52">
        <v>99</v>
      </c>
      <c r="D52">
        <v>184</v>
      </c>
      <c r="E52">
        <v>0.53800000000000003</v>
      </c>
      <c r="F52" s="1" t="s">
        <v>8</v>
      </c>
    </row>
    <row r="53" spans="1:6" x14ac:dyDescent="0.2">
      <c r="A53" s="1" t="s">
        <v>57</v>
      </c>
      <c r="B53" s="1" t="s">
        <v>12</v>
      </c>
      <c r="C53">
        <v>100</v>
      </c>
      <c r="D53">
        <v>184</v>
      </c>
      <c r="E53">
        <v>0.54300000000000004</v>
      </c>
      <c r="F53" s="1" t="s">
        <v>8</v>
      </c>
    </row>
    <row r="54" spans="1:6" x14ac:dyDescent="0.2">
      <c r="A54" s="1" t="s">
        <v>58</v>
      </c>
      <c r="B54" s="1" t="s">
        <v>12</v>
      </c>
      <c r="C54">
        <v>101</v>
      </c>
      <c r="D54">
        <v>184</v>
      </c>
      <c r="E54">
        <v>0.54900000000000004</v>
      </c>
      <c r="F54" s="1" t="s">
        <v>8</v>
      </c>
    </row>
    <row r="55" spans="1:6" x14ac:dyDescent="0.2">
      <c r="A55" s="1" t="s">
        <v>59</v>
      </c>
      <c r="B55" s="1" t="s">
        <v>12</v>
      </c>
      <c r="C55">
        <v>101</v>
      </c>
      <c r="D55">
        <v>184</v>
      </c>
      <c r="E55">
        <v>0.54900000000000004</v>
      </c>
      <c r="F55" s="1" t="s">
        <v>8</v>
      </c>
    </row>
    <row r="56" spans="1:6" x14ac:dyDescent="0.2">
      <c r="A56" s="1" t="s">
        <v>60</v>
      </c>
      <c r="B56" s="1" t="s">
        <v>7</v>
      </c>
      <c r="C56">
        <v>102</v>
      </c>
      <c r="D56">
        <v>184</v>
      </c>
      <c r="E56">
        <v>0.55400000000000005</v>
      </c>
      <c r="F56" s="1" t="s">
        <v>8</v>
      </c>
    </row>
    <row r="57" spans="1:6" x14ac:dyDescent="0.2">
      <c r="A57" s="1" t="s">
        <v>61</v>
      </c>
      <c r="B57" s="1" t="s">
        <v>10</v>
      </c>
      <c r="C57">
        <v>103</v>
      </c>
      <c r="D57">
        <v>184</v>
      </c>
      <c r="E57">
        <v>0.56000000000000005</v>
      </c>
      <c r="F57" s="1" t="s">
        <v>8</v>
      </c>
    </row>
    <row r="58" spans="1:6" x14ac:dyDescent="0.2">
      <c r="A58" s="1" t="s">
        <v>57</v>
      </c>
      <c r="B58" s="1" t="s">
        <v>7</v>
      </c>
      <c r="C58">
        <v>104</v>
      </c>
      <c r="D58">
        <v>184</v>
      </c>
      <c r="E58">
        <v>0.56499999999999995</v>
      </c>
      <c r="F58" s="1" t="s">
        <v>8</v>
      </c>
    </row>
    <row r="59" spans="1:6" x14ac:dyDescent="0.2">
      <c r="A59" s="1" t="s">
        <v>62</v>
      </c>
      <c r="B59" s="1" t="s">
        <v>10</v>
      </c>
      <c r="C59">
        <v>105</v>
      </c>
      <c r="D59">
        <v>184</v>
      </c>
      <c r="E59">
        <v>0.57099999999999995</v>
      </c>
      <c r="F59" s="1" t="s">
        <v>8</v>
      </c>
    </row>
    <row r="60" spans="1:6" x14ac:dyDescent="0.2">
      <c r="A60" s="1" t="s">
        <v>36</v>
      </c>
      <c r="B60" s="1" t="s">
        <v>10</v>
      </c>
      <c r="C60">
        <v>106</v>
      </c>
      <c r="D60">
        <v>184</v>
      </c>
      <c r="E60">
        <v>0.57599999999999996</v>
      </c>
      <c r="F60" s="1" t="s">
        <v>8</v>
      </c>
    </row>
    <row r="61" spans="1:6" x14ac:dyDescent="0.2">
      <c r="A61" s="1" t="s">
        <v>63</v>
      </c>
      <c r="B61" s="1" t="s">
        <v>12</v>
      </c>
      <c r="C61">
        <v>106</v>
      </c>
      <c r="D61">
        <v>184</v>
      </c>
      <c r="E61">
        <v>0.57599999999999996</v>
      </c>
      <c r="F61" s="1" t="s">
        <v>8</v>
      </c>
    </row>
    <row r="62" spans="1:6" x14ac:dyDescent="0.2">
      <c r="A62" s="1" t="s">
        <v>32</v>
      </c>
      <c r="B62" s="1" t="s">
        <v>7</v>
      </c>
      <c r="C62">
        <v>109</v>
      </c>
      <c r="D62">
        <v>184</v>
      </c>
      <c r="E62">
        <v>0.59199999999999997</v>
      </c>
      <c r="F62" s="1" t="s">
        <v>8</v>
      </c>
    </row>
    <row r="63" spans="1:6" x14ac:dyDescent="0.2">
      <c r="A63" s="1" t="s">
        <v>64</v>
      </c>
      <c r="B63" s="1" t="s">
        <v>10</v>
      </c>
      <c r="C63">
        <v>114</v>
      </c>
      <c r="D63">
        <v>184</v>
      </c>
      <c r="E63">
        <v>0.62</v>
      </c>
      <c r="F63" s="1" t="s">
        <v>65</v>
      </c>
    </row>
    <row r="64" spans="1:6" x14ac:dyDescent="0.2">
      <c r="A64" s="1" t="s">
        <v>66</v>
      </c>
      <c r="B64" s="1" t="s">
        <v>12</v>
      </c>
      <c r="C64">
        <v>118</v>
      </c>
      <c r="D64">
        <v>184</v>
      </c>
      <c r="E64">
        <v>0.64100000000000001</v>
      </c>
      <c r="F64" s="1" t="s">
        <v>65</v>
      </c>
    </row>
    <row r="65" spans="1:6" x14ac:dyDescent="0.2">
      <c r="A65" s="1" t="s">
        <v>23</v>
      </c>
      <c r="B65" s="1" t="s">
        <v>12</v>
      </c>
      <c r="C65">
        <v>119</v>
      </c>
      <c r="D65">
        <v>184</v>
      </c>
      <c r="E65">
        <v>0.64700000000000002</v>
      </c>
      <c r="F65" s="1" t="s">
        <v>65</v>
      </c>
    </row>
    <row r="66" spans="1:6" x14ac:dyDescent="0.2">
      <c r="A66" s="1" t="s">
        <v>67</v>
      </c>
      <c r="B66" s="1" t="s">
        <v>7</v>
      </c>
      <c r="C66">
        <v>120</v>
      </c>
      <c r="D66">
        <v>184</v>
      </c>
      <c r="E66">
        <v>0.65200000000000002</v>
      </c>
      <c r="F66" s="1" t="s">
        <v>65</v>
      </c>
    </row>
    <row r="67" spans="1:6" x14ac:dyDescent="0.2">
      <c r="A67" s="1" t="s">
        <v>68</v>
      </c>
      <c r="B67" s="1" t="s">
        <v>7</v>
      </c>
      <c r="C67">
        <v>120</v>
      </c>
      <c r="D67">
        <v>184</v>
      </c>
      <c r="E67">
        <v>0.65200000000000002</v>
      </c>
      <c r="F67" s="1" t="s">
        <v>65</v>
      </c>
    </row>
    <row r="68" spans="1:6" x14ac:dyDescent="0.2">
      <c r="A68" s="1" t="s">
        <v>69</v>
      </c>
      <c r="B68" s="1" t="s">
        <v>10</v>
      </c>
      <c r="C68">
        <v>120</v>
      </c>
      <c r="D68">
        <v>184</v>
      </c>
      <c r="E68">
        <v>0.65200000000000002</v>
      </c>
      <c r="F68" s="1" t="s">
        <v>65</v>
      </c>
    </row>
    <row r="69" spans="1:6" x14ac:dyDescent="0.2">
      <c r="A69" s="1" t="s">
        <v>70</v>
      </c>
      <c r="B69" s="1" t="s">
        <v>12</v>
      </c>
      <c r="C69">
        <v>120</v>
      </c>
      <c r="D69">
        <v>184</v>
      </c>
      <c r="E69">
        <v>0.65200000000000002</v>
      </c>
      <c r="F69" s="1" t="s">
        <v>65</v>
      </c>
    </row>
    <row r="70" spans="1:6" x14ac:dyDescent="0.2">
      <c r="A70" s="1" t="s">
        <v>71</v>
      </c>
      <c r="B70" s="1" t="s">
        <v>7</v>
      </c>
      <c r="C70">
        <v>120</v>
      </c>
      <c r="D70">
        <v>184</v>
      </c>
      <c r="E70">
        <v>0.65200000000000002</v>
      </c>
      <c r="F70" s="1" t="s">
        <v>65</v>
      </c>
    </row>
    <row r="71" spans="1:6" x14ac:dyDescent="0.2">
      <c r="A71" s="1" t="s">
        <v>20</v>
      </c>
      <c r="B71" s="1" t="s">
        <v>12</v>
      </c>
      <c r="C71">
        <v>120</v>
      </c>
      <c r="D71">
        <v>184</v>
      </c>
      <c r="E71">
        <v>0.65200000000000002</v>
      </c>
      <c r="F71" s="1" t="s">
        <v>65</v>
      </c>
    </row>
    <row r="72" spans="1:6" x14ac:dyDescent="0.2">
      <c r="A72" s="1" t="s">
        <v>20</v>
      </c>
      <c r="B72" s="1" t="s">
        <v>10</v>
      </c>
      <c r="C72">
        <v>120</v>
      </c>
      <c r="D72">
        <v>184</v>
      </c>
      <c r="E72">
        <v>0.65200000000000002</v>
      </c>
      <c r="F72" s="1" t="s">
        <v>65</v>
      </c>
    </row>
    <row r="73" spans="1:6" x14ac:dyDescent="0.2">
      <c r="A73" s="1" t="s">
        <v>34</v>
      </c>
      <c r="B73" s="1" t="s">
        <v>7</v>
      </c>
      <c r="C73">
        <v>120</v>
      </c>
      <c r="D73">
        <v>184</v>
      </c>
      <c r="E73">
        <v>0.65200000000000002</v>
      </c>
      <c r="F73" s="1" t="s">
        <v>65</v>
      </c>
    </row>
    <row r="74" spans="1:6" x14ac:dyDescent="0.2">
      <c r="A74" s="1" t="s">
        <v>72</v>
      </c>
      <c r="B74" s="1" t="s">
        <v>12</v>
      </c>
      <c r="C74">
        <v>120</v>
      </c>
      <c r="D74">
        <v>184</v>
      </c>
      <c r="E74">
        <v>0.65200000000000002</v>
      </c>
      <c r="F74" s="1" t="s">
        <v>65</v>
      </c>
    </row>
    <row r="75" spans="1:6" x14ac:dyDescent="0.2">
      <c r="A75" s="1" t="s">
        <v>72</v>
      </c>
      <c r="B75" s="1" t="s">
        <v>10</v>
      </c>
      <c r="C75">
        <v>120</v>
      </c>
      <c r="D75">
        <v>184</v>
      </c>
      <c r="E75">
        <v>0.65200000000000002</v>
      </c>
      <c r="F75" s="1" t="s">
        <v>65</v>
      </c>
    </row>
    <row r="76" spans="1:6" x14ac:dyDescent="0.2">
      <c r="A76" s="1" t="s">
        <v>73</v>
      </c>
      <c r="B76" s="1" t="s">
        <v>12</v>
      </c>
      <c r="C76">
        <v>120</v>
      </c>
      <c r="D76">
        <v>184</v>
      </c>
      <c r="E76">
        <v>0.65200000000000002</v>
      </c>
      <c r="F76" s="1" t="s">
        <v>65</v>
      </c>
    </row>
    <row r="77" spans="1:6" x14ac:dyDescent="0.2">
      <c r="A77" s="1" t="s">
        <v>73</v>
      </c>
      <c r="B77" s="1" t="s">
        <v>7</v>
      </c>
      <c r="C77">
        <v>120</v>
      </c>
      <c r="D77">
        <v>184</v>
      </c>
      <c r="E77">
        <v>0.65200000000000002</v>
      </c>
      <c r="F77" s="1" t="s">
        <v>65</v>
      </c>
    </row>
    <row r="78" spans="1:6" x14ac:dyDescent="0.2">
      <c r="A78" s="1" t="s">
        <v>35</v>
      </c>
      <c r="B78" s="1" t="s">
        <v>10</v>
      </c>
      <c r="C78">
        <v>120</v>
      </c>
      <c r="D78">
        <v>184</v>
      </c>
      <c r="E78">
        <v>0.65200000000000002</v>
      </c>
      <c r="F78" s="1" t="s">
        <v>65</v>
      </c>
    </row>
    <row r="79" spans="1:6" x14ac:dyDescent="0.2">
      <c r="A79" s="1" t="s">
        <v>61</v>
      </c>
      <c r="B79" s="1" t="s">
        <v>7</v>
      </c>
      <c r="C79">
        <v>120</v>
      </c>
      <c r="D79">
        <v>184</v>
      </c>
      <c r="E79">
        <v>0.65200000000000002</v>
      </c>
      <c r="F79" s="1" t="s">
        <v>65</v>
      </c>
    </row>
    <row r="80" spans="1:6" x14ac:dyDescent="0.2">
      <c r="A80" s="1" t="s">
        <v>74</v>
      </c>
      <c r="B80" s="1" t="s">
        <v>10</v>
      </c>
      <c r="C80">
        <v>120</v>
      </c>
      <c r="D80">
        <v>184</v>
      </c>
      <c r="E80">
        <v>0.65200000000000002</v>
      </c>
      <c r="F80" s="1" t="s">
        <v>65</v>
      </c>
    </row>
    <row r="81" spans="1:6" x14ac:dyDescent="0.2">
      <c r="A81" s="1" t="s">
        <v>75</v>
      </c>
      <c r="B81" s="1" t="s">
        <v>7</v>
      </c>
      <c r="C81">
        <v>120</v>
      </c>
      <c r="D81">
        <v>184</v>
      </c>
      <c r="E81">
        <v>0.65200000000000002</v>
      </c>
      <c r="F81" s="1" t="s">
        <v>65</v>
      </c>
    </row>
    <row r="82" spans="1:6" x14ac:dyDescent="0.2">
      <c r="A82" s="1" t="s">
        <v>76</v>
      </c>
      <c r="B82" s="1" t="s">
        <v>12</v>
      </c>
      <c r="C82">
        <v>120</v>
      </c>
      <c r="D82">
        <v>184</v>
      </c>
      <c r="E82">
        <v>0.65200000000000002</v>
      </c>
      <c r="F82" s="1" t="s">
        <v>65</v>
      </c>
    </row>
    <row r="83" spans="1:6" x14ac:dyDescent="0.2">
      <c r="A83" s="1" t="s">
        <v>76</v>
      </c>
      <c r="B83" s="1" t="s">
        <v>10</v>
      </c>
      <c r="C83">
        <v>120</v>
      </c>
      <c r="D83">
        <v>184</v>
      </c>
      <c r="E83">
        <v>0.65200000000000002</v>
      </c>
      <c r="F83" s="1" t="s">
        <v>65</v>
      </c>
    </row>
    <row r="84" spans="1:6" x14ac:dyDescent="0.2">
      <c r="A84" s="1" t="s">
        <v>77</v>
      </c>
      <c r="B84" s="1" t="s">
        <v>7</v>
      </c>
      <c r="C84">
        <v>120</v>
      </c>
      <c r="D84">
        <v>184</v>
      </c>
      <c r="E84">
        <v>0.65200000000000002</v>
      </c>
      <c r="F84" s="1" t="s">
        <v>65</v>
      </c>
    </row>
    <row r="85" spans="1:6" x14ac:dyDescent="0.2">
      <c r="A85" s="1" t="s">
        <v>77</v>
      </c>
      <c r="B85" s="1" t="s">
        <v>10</v>
      </c>
      <c r="C85">
        <v>120</v>
      </c>
      <c r="D85">
        <v>184</v>
      </c>
      <c r="E85">
        <v>0.65200000000000002</v>
      </c>
      <c r="F85" s="1" t="s">
        <v>65</v>
      </c>
    </row>
    <row r="86" spans="1:6" x14ac:dyDescent="0.2">
      <c r="A86" s="1" t="s">
        <v>78</v>
      </c>
      <c r="B86" s="1" t="s">
        <v>12</v>
      </c>
      <c r="C86">
        <v>120</v>
      </c>
      <c r="D86">
        <v>184</v>
      </c>
      <c r="E86">
        <v>0.65200000000000002</v>
      </c>
      <c r="F86" s="1" t="s">
        <v>65</v>
      </c>
    </row>
    <row r="87" spans="1:6" x14ac:dyDescent="0.2">
      <c r="A87" s="1" t="s">
        <v>79</v>
      </c>
      <c r="B87" s="1" t="s">
        <v>10</v>
      </c>
      <c r="C87">
        <v>120</v>
      </c>
      <c r="D87">
        <v>184</v>
      </c>
      <c r="E87">
        <v>0.65200000000000002</v>
      </c>
      <c r="F87" s="1" t="s">
        <v>65</v>
      </c>
    </row>
    <row r="88" spans="1:6" x14ac:dyDescent="0.2">
      <c r="A88" s="1" t="s">
        <v>80</v>
      </c>
      <c r="B88" s="1" t="s">
        <v>7</v>
      </c>
      <c r="C88">
        <v>120</v>
      </c>
      <c r="D88">
        <v>184</v>
      </c>
      <c r="E88">
        <v>0.65200000000000002</v>
      </c>
      <c r="F88" s="1" t="s">
        <v>65</v>
      </c>
    </row>
    <row r="89" spans="1:6" x14ac:dyDescent="0.2">
      <c r="A89" s="1" t="s">
        <v>81</v>
      </c>
      <c r="B89" s="1" t="s">
        <v>12</v>
      </c>
      <c r="C89">
        <v>122</v>
      </c>
      <c r="D89">
        <v>184</v>
      </c>
      <c r="E89">
        <v>0.66300000000000003</v>
      </c>
      <c r="F89" s="1" t="s">
        <v>65</v>
      </c>
    </row>
    <row r="90" spans="1:6" x14ac:dyDescent="0.2">
      <c r="A90" s="1" t="s">
        <v>48</v>
      </c>
      <c r="B90" s="1" t="s">
        <v>7</v>
      </c>
      <c r="C90">
        <v>122</v>
      </c>
      <c r="D90">
        <v>184</v>
      </c>
      <c r="E90">
        <v>0.66300000000000003</v>
      </c>
      <c r="F90" s="1" t="s">
        <v>65</v>
      </c>
    </row>
    <row r="91" spans="1:6" x14ac:dyDescent="0.2">
      <c r="A91" s="1" t="s">
        <v>82</v>
      </c>
      <c r="B91" s="1" t="s">
        <v>12</v>
      </c>
      <c r="C91">
        <v>123</v>
      </c>
      <c r="D91">
        <v>184</v>
      </c>
      <c r="E91">
        <v>0.66800000000000004</v>
      </c>
      <c r="F91" s="1" t="s">
        <v>65</v>
      </c>
    </row>
    <row r="92" spans="1:6" x14ac:dyDescent="0.2">
      <c r="A92" s="1" t="s">
        <v>15</v>
      </c>
      <c r="B92" s="1" t="s">
        <v>12</v>
      </c>
      <c r="C92">
        <v>123</v>
      </c>
      <c r="D92">
        <v>184</v>
      </c>
      <c r="E92">
        <v>0.66800000000000004</v>
      </c>
      <c r="F92" s="1" t="s">
        <v>65</v>
      </c>
    </row>
    <row r="93" spans="1:6" x14ac:dyDescent="0.2">
      <c r="A93" s="1" t="s">
        <v>40</v>
      </c>
      <c r="B93" s="1" t="s">
        <v>7</v>
      </c>
      <c r="C93">
        <v>123</v>
      </c>
      <c r="D93">
        <v>184</v>
      </c>
      <c r="E93">
        <v>0.66800000000000004</v>
      </c>
      <c r="F93" s="1" t="s">
        <v>65</v>
      </c>
    </row>
    <row r="94" spans="1:6" x14ac:dyDescent="0.2">
      <c r="A94" s="1" t="s">
        <v>59</v>
      </c>
      <c r="B94" s="1" t="s">
        <v>10</v>
      </c>
      <c r="C94">
        <v>123</v>
      </c>
      <c r="D94">
        <v>184</v>
      </c>
      <c r="E94">
        <v>0.66800000000000004</v>
      </c>
      <c r="F94" s="1" t="s">
        <v>65</v>
      </c>
    </row>
    <row r="95" spans="1:6" x14ac:dyDescent="0.2">
      <c r="A95" s="1" t="s">
        <v>39</v>
      </c>
      <c r="B95" s="1" t="s">
        <v>10</v>
      </c>
      <c r="C95">
        <v>124</v>
      </c>
      <c r="D95">
        <v>184</v>
      </c>
      <c r="E95">
        <v>0.67400000000000004</v>
      </c>
      <c r="F95" s="1" t="s">
        <v>65</v>
      </c>
    </row>
    <row r="96" spans="1:6" x14ac:dyDescent="0.2">
      <c r="A96" s="1" t="s">
        <v>83</v>
      </c>
      <c r="B96" s="1" t="s">
        <v>7</v>
      </c>
      <c r="C96">
        <v>124</v>
      </c>
      <c r="D96">
        <v>184</v>
      </c>
      <c r="E96">
        <v>0.67400000000000004</v>
      </c>
      <c r="F96" s="1" t="s">
        <v>65</v>
      </c>
    </row>
    <row r="97" spans="1:6" x14ac:dyDescent="0.2">
      <c r="A97" s="1" t="s">
        <v>84</v>
      </c>
      <c r="B97" s="1" t="s">
        <v>7</v>
      </c>
      <c r="C97">
        <v>124</v>
      </c>
      <c r="D97">
        <v>184</v>
      </c>
      <c r="E97">
        <v>0.67400000000000004</v>
      </c>
      <c r="F97" s="1" t="s">
        <v>65</v>
      </c>
    </row>
    <row r="98" spans="1:6" x14ac:dyDescent="0.2">
      <c r="A98" s="1" t="s">
        <v>85</v>
      </c>
      <c r="B98" s="1" t="s">
        <v>10</v>
      </c>
      <c r="C98">
        <v>125</v>
      </c>
      <c r="D98">
        <v>184</v>
      </c>
      <c r="E98">
        <v>0.67900000000000005</v>
      </c>
      <c r="F98" s="1" t="s">
        <v>65</v>
      </c>
    </row>
    <row r="99" spans="1:6" x14ac:dyDescent="0.2">
      <c r="A99" s="1" t="s">
        <v>86</v>
      </c>
      <c r="B99" s="1" t="s">
        <v>7</v>
      </c>
      <c r="C99">
        <v>127</v>
      </c>
      <c r="D99">
        <v>184</v>
      </c>
      <c r="E99">
        <v>0.69</v>
      </c>
      <c r="F99" s="1" t="s">
        <v>65</v>
      </c>
    </row>
    <row r="100" spans="1:6" x14ac:dyDescent="0.2">
      <c r="A100" s="1" t="s">
        <v>32</v>
      </c>
      <c r="B100" s="1" t="s">
        <v>10</v>
      </c>
      <c r="C100">
        <v>130</v>
      </c>
      <c r="D100">
        <v>184</v>
      </c>
      <c r="E100">
        <v>0.70699999999999996</v>
      </c>
      <c r="F100" s="1" t="s">
        <v>65</v>
      </c>
    </row>
    <row r="101" spans="1:6" x14ac:dyDescent="0.2">
      <c r="A101" s="1" t="s">
        <v>87</v>
      </c>
      <c r="B101" s="1" t="s">
        <v>12</v>
      </c>
      <c r="C101">
        <v>131</v>
      </c>
      <c r="D101">
        <v>184</v>
      </c>
      <c r="E101">
        <v>0.71199999999999997</v>
      </c>
      <c r="F101" s="1" t="s">
        <v>65</v>
      </c>
    </row>
    <row r="102" spans="1:6" x14ac:dyDescent="0.2">
      <c r="A102" s="1" t="s">
        <v>88</v>
      </c>
      <c r="B102" s="1" t="s">
        <v>7</v>
      </c>
      <c r="C102">
        <v>131</v>
      </c>
      <c r="D102">
        <v>184</v>
      </c>
      <c r="E102">
        <v>0.71199999999999997</v>
      </c>
      <c r="F102" s="1" t="s">
        <v>65</v>
      </c>
    </row>
    <row r="103" spans="1:6" x14ac:dyDescent="0.2">
      <c r="A103" s="1" t="s">
        <v>89</v>
      </c>
      <c r="B103" s="1" t="s">
        <v>7</v>
      </c>
      <c r="C103">
        <v>132</v>
      </c>
      <c r="D103">
        <v>184</v>
      </c>
      <c r="E103">
        <v>0.71699999999999997</v>
      </c>
      <c r="F103" s="1" t="s">
        <v>65</v>
      </c>
    </row>
    <row r="104" spans="1:6" x14ac:dyDescent="0.2">
      <c r="A104" s="1" t="s">
        <v>85</v>
      </c>
      <c r="B104" s="1" t="s">
        <v>12</v>
      </c>
      <c r="C104">
        <v>132</v>
      </c>
      <c r="D104">
        <v>184</v>
      </c>
      <c r="E104">
        <v>0.71699999999999997</v>
      </c>
      <c r="F104" s="1" t="s">
        <v>65</v>
      </c>
    </row>
    <row r="105" spans="1:6" x14ac:dyDescent="0.2">
      <c r="A105" s="1" t="s">
        <v>90</v>
      </c>
      <c r="B105" s="1" t="s">
        <v>12</v>
      </c>
      <c r="C105">
        <v>133</v>
      </c>
      <c r="D105">
        <v>184</v>
      </c>
      <c r="E105">
        <v>0.72299999999999998</v>
      </c>
      <c r="F105" s="1" t="s">
        <v>65</v>
      </c>
    </row>
    <row r="106" spans="1:6" x14ac:dyDescent="0.2">
      <c r="A106" s="1" t="s">
        <v>91</v>
      </c>
      <c r="B106" s="1" t="s">
        <v>10</v>
      </c>
      <c r="C106">
        <v>134</v>
      </c>
      <c r="D106">
        <v>184</v>
      </c>
      <c r="E106">
        <v>0.72799999999999998</v>
      </c>
      <c r="F106" s="1" t="s">
        <v>65</v>
      </c>
    </row>
    <row r="107" spans="1:6" x14ac:dyDescent="0.2">
      <c r="A107" s="1" t="s">
        <v>36</v>
      </c>
      <c r="B107" s="1" t="s">
        <v>12</v>
      </c>
      <c r="C107">
        <v>134</v>
      </c>
      <c r="D107">
        <v>184</v>
      </c>
      <c r="E107">
        <v>0.72799999999999998</v>
      </c>
      <c r="F107" s="1" t="s">
        <v>65</v>
      </c>
    </row>
    <row r="108" spans="1:6" x14ac:dyDescent="0.2">
      <c r="A108" s="1" t="s">
        <v>92</v>
      </c>
      <c r="B108" s="1" t="s">
        <v>7</v>
      </c>
      <c r="C108">
        <v>134</v>
      </c>
      <c r="D108">
        <v>184</v>
      </c>
      <c r="E108">
        <v>0.72799999999999998</v>
      </c>
      <c r="F108" s="1" t="s">
        <v>65</v>
      </c>
    </row>
    <row r="109" spans="1:6" x14ac:dyDescent="0.2">
      <c r="A109" s="1" t="s">
        <v>93</v>
      </c>
      <c r="B109" s="1" t="s">
        <v>12</v>
      </c>
      <c r="C109">
        <v>134</v>
      </c>
      <c r="D109">
        <v>184</v>
      </c>
      <c r="E109">
        <v>0.72799999999999998</v>
      </c>
      <c r="F109" s="1" t="s">
        <v>65</v>
      </c>
    </row>
    <row r="110" spans="1:6" x14ac:dyDescent="0.2">
      <c r="A110" s="1" t="s">
        <v>83</v>
      </c>
      <c r="B110" s="1" t="s">
        <v>10</v>
      </c>
      <c r="C110">
        <v>134</v>
      </c>
      <c r="D110">
        <v>184</v>
      </c>
      <c r="E110">
        <v>0.72799999999999998</v>
      </c>
      <c r="F110" s="1" t="s">
        <v>65</v>
      </c>
    </row>
    <row r="111" spans="1:6" x14ac:dyDescent="0.2">
      <c r="A111" s="1" t="s">
        <v>94</v>
      </c>
      <c r="B111" s="1" t="s">
        <v>7</v>
      </c>
      <c r="C111">
        <v>134</v>
      </c>
      <c r="D111">
        <v>184</v>
      </c>
      <c r="E111">
        <v>0.72799999999999998</v>
      </c>
      <c r="F111" s="1" t="s">
        <v>65</v>
      </c>
    </row>
    <row r="112" spans="1:6" x14ac:dyDescent="0.2">
      <c r="A112" s="1" t="s">
        <v>56</v>
      </c>
      <c r="B112" s="1" t="s">
        <v>12</v>
      </c>
      <c r="C112">
        <v>134</v>
      </c>
      <c r="D112">
        <v>184</v>
      </c>
      <c r="E112">
        <v>0.72799999999999998</v>
      </c>
      <c r="F112" s="1" t="s">
        <v>65</v>
      </c>
    </row>
    <row r="113" spans="1:6" x14ac:dyDescent="0.2">
      <c r="A113" s="1" t="s">
        <v>95</v>
      </c>
      <c r="B113" s="1" t="s">
        <v>7</v>
      </c>
      <c r="C113">
        <v>135</v>
      </c>
      <c r="D113">
        <v>184</v>
      </c>
      <c r="E113">
        <v>0.73399999999999999</v>
      </c>
      <c r="F113" s="1" t="s">
        <v>65</v>
      </c>
    </row>
    <row r="114" spans="1:6" x14ac:dyDescent="0.2">
      <c r="A114" s="1" t="s">
        <v>96</v>
      </c>
      <c r="B114" s="1" t="s">
        <v>7</v>
      </c>
      <c r="C114">
        <v>136</v>
      </c>
      <c r="D114">
        <v>184</v>
      </c>
      <c r="E114">
        <v>0.73899999999999999</v>
      </c>
      <c r="F114" s="1" t="s">
        <v>65</v>
      </c>
    </row>
    <row r="115" spans="1:6" x14ac:dyDescent="0.2">
      <c r="A115" s="1" t="s">
        <v>97</v>
      </c>
      <c r="B115" s="1" t="s">
        <v>12</v>
      </c>
      <c r="C115">
        <v>136</v>
      </c>
      <c r="D115">
        <v>184</v>
      </c>
      <c r="E115">
        <v>0.73899999999999999</v>
      </c>
      <c r="F115" s="1" t="s">
        <v>65</v>
      </c>
    </row>
    <row r="116" spans="1:6" x14ac:dyDescent="0.2">
      <c r="A116" s="1" t="s">
        <v>98</v>
      </c>
      <c r="B116" s="1" t="s">
        <v>7</v>
      </c>
      <c r="C116">
        <v>137</v>
      </c>
      <c r="D116">
        <v>184</v>
      </c>
      <c r="E116">
        <v>0.745</v>
      </c>
      <c r="F116" s="1" t="s">
        <v>65</v>
      </c>
    </row>
    <row r="117" spans="1:6" x14ac:dyDescent="0.2">
      <c r="A117" s="1" t="s">
        <v>99</v>
      </c>
      <c r="B117" s="1" t="s">
        <v>10</v>
      </c>
      <c r="C117">
        <v>137</v>
      </c>
      <c r="D117">
        <v>184</v>
      </c>
      <c r="E117">
        <v>0.745</v>
      </c>
      <c r="F117" s="1" t="s">
        <v>65</v>
      </c>
    </row>
    <row r="118" spans="1:6" x14ac:dyDescent="0.2">
      <c r="A118" s="1" t="s">
        <v>54</v>
      </c>
      <c r="B118" s="1" t="s">
        <v>7</v>
      </c>
      <c r="C118">
        <v>138</v>
      </c>
      <c r="D118">
        <v>184</v>
      </c>
      <c r="E118">
        <v>0.75</v>
      </c>
      <c r="F118" s="1" t="s">
        <v>65</v>
      </c>
    </row>
    <row r="119" spans="1:6" x14ac:dyDescent="0.2">
      <c r="A119" s="1" t="s">
        <v>100</v>
      </c>
      <c r="B119" s="1" t="s">
        <v>12</v>
      </c>
      <c r="C119">
        <v>138</v>
      </c>
      <c r="D119">
        <v>184</v>
      </c>
      <c r="E119">
        <v>0.75</v>
      </c>
      <c r="F119" s="1" t="s">
        <v>65</v>
      </c>
    </row>
    <row r="120" spans="1:6" x14ac:dyDescent="0.2">
      <c r="A120" s="1" t="s">
        <v>51</v>
      </c>
      <c r="B120" s="1" t="s">
        <v>10</v>
      </c>
      <c r="C120">
        <v>138</v>
      </c>
      <c r="D120">
        <v>184</v>
      </c>
      <c r="E120">
        <v>0.75</v>
      </c>
      <c r="F120" s="1" t="s">
        <v>65</v>
      </c>
    </row>
    <row r="121" spans="1:6" x14ac:dyDescent="0.2">
      <c r="A121" s="1" t="s">
        <v>101</v>
      </c>
      <c r="B121" s="1" t="s">
        <v>10</v>
      </c>
      <c r="C121">
        <v>138</v>
      </c>
      <c r="D121">
        <v>184</v>
      </c>
      <c r="E121">
        <v>0.75</v>
      </c>
      <c r="F121" s="1" t="s">
        <v>65</v>
      </c>
    </row>
    <row r="122" spans="1:6" x14ac:dyDescent="0.2">
      <c r="A122" s="1" t="s">
        <v>19</v>
      </c>
      <c r="B122" s="1" t="s">
        <v>7</v>
      </c>
      <c r="C122">
        <v>138</v>
      </c>
      <c r="D122">
        <v>184</v>
      </c>
      <c r="E122">
        <v>0.75</v>
      </c>
      <c r="F122" s="1" t="s">
        <v>65</v>
      </c>
    </row>
    <row r="123" spans="1:6" x14ac:dyDescent="0.2">
      <c r="A123" s="1" t="s">
        <v>102</v>
      </c>
      <c r="B123" s="1" t="s">
        <v>7</v>
      </c>
      <c r="C123">
        <v>139</v>
      </c>
      <c r="D123">
        <v>184</v>
      </c>
      <c r="E123">
        <v>0.755</v>
      </c>
      <c r="F123" s="1" t="s">
        <v>65</v>
      </c>
    </row>
    <row r="124" spans="1:6" x14ac:dyDescent="0.2">
      <c r="A124" s="1" t="s">
        <v>103</v>
      </c>
      <c r="B124" s="1" t="s">
        <v>10</v>
      </c>
      <c r="C124">
        <v>139</v>
      </c>
      <c r="D124">
        <v>184</v>
      </c>
      <c r="E124">
        <v>0.755</v>
      </c>
      <c r="F124" s="1" t="s">
        <v>65</v>
      </c>
    </row>
    <row r="125" spans="1:6" x14ac:dyDescent="0.2">
      <c r="A125" s="1" t="s">
        <v>55</v>
      </c>
      <c r="B125" s="1" t="s">
        <v>12</v>
      </c>
      <c r="C125">
        <v>140</v>
      </c>
      <c r="D125">
        <v>184</v>
      </c>
      <c r="E125">
        <v>0.76100000000000001</v>
      </c>
      <c r="F125" s="1" t="s">
        <v>65</v>
      </c>
    </row>
    <row r="126" spans="1:6" x14ac:dyDescent="0.2">
      <c r="A126" s="1" t="s">
        <v>82</v>
      </c>
      <c r="B126" s="1" t="s">
        <v>7</v>
      </c>
      <c r="C126">
        <v>140</v>
      </c>
      <c r="D126">
        <v>184</v>
      </c>
      <c r="E126">
        <v>0.76100000000000001</v>
      </c>
      <c r="F126" s="1" t="s">
        <v>65</v>
      </c>
    </row>
    <row r="127" spans="1:6" x14ac:dyDescent="0.2">
      <c r="A127" s="1" t="s">
        <v>104</v>
      </c>
      <c r="B127" s="1" t="s">
        <v>12</v>
      </c>
      <c r="C127">
        <v>140</v>
      </c>
      <c r="D127">
        <v>184</v>
      </c>
      <c r="E127">
        <v>0.76100000000000001</v>
      </c>
      <c r="F127" s="1" t="s">
        <v>65</v>
      </c>
    </row>
    <row r="128" spans="1:6" x14ac:dyDescent="0.2">
      <c r="A128" s="1" t="s">
        <v>105</v>
      </c>
      <c r="B128" s="1" t="s">
        <v>10</v>
      </c>
      <c r="C128">
        <v>140</v>
      </c>
      <c r="D128">
        <v>184</v>
      </c>
      <c r="E128">
        <v>0.76100000000000001</v>
      </c>
      <c r="F128" s="1" t="s">
        <v>65</v>
      </c>
    </row>
    <row r="129" spans="1:6" x14ac:dyDescent="0.2">
      <c r="A129" s="1" t="s">
        <v>106</v>
      </c>
      <c r="B129" s="1" t="s">
        <v>12</v>
      </c>
      <c r="C129">
        <v>140</v>
      </c>
      <c r="D129">
        <v>184</v>
      </c>
      <c r="E129">
        <v>0.76100000000000001</v>
      </c>
      <c r="F129" s="1" t="s">
        <v>65</v>
      </c>
    </row>
    <row r="130" spans="1:6" x14ac:dyDescent="0.2">
      <c r="A130" s="1" t="s">
        <v>26</v>
      </c>
      <c r="B130" s="1" t="s">
        <v>12</v>
      </c>
      <c r="C130">
        <v>141</v>
      </c>
      <c r="D130">
        <v>184</v>
      </c>
      <c r="E130">
        <v>0.76600000000000001</v>
      </c>
      <c r="F130" s="1" t="s">
        <v>65</v>
      </c>
    </row>
    <row r="131" spans="1:6" x14ac:dyDescent="0.2">
      <c r="A131" s="1" t="s">
        <v>94</v>
      </c>
      <c r="B131" s="1" t="s">
        <v>12</v>
      </c>
      <c r="C131">
        <v>141</v>
      </c>
      <c r="D131">
        <v>184</v>
      </c>
      <c r="E131">
        <v>0.76600000000000001</v>
      </c>
      <c r="F131" s="1" t="s">
        <v>65</v>
      </c>
    </row>
    <row r="132" spans="1:6" x14ac:dyDescent="0.2">
      <c r="A132" s="1" t="s">
        <v>87</v>
      </c>
      <c r="B132" s="1" t="s">
        <v>7</v>
      </c>
      <c r="C132">
        <v>142</v>
      </c>
      <c r="D132">
        <v>184</v>
      </c>
      <c r="E132">
        <v>0.77200000000000002</v>
      </c>
      <c r="F132" s="1" t="s">
        <v>65</v>
      </c>
    </row>
    <row r="133" spans="1:6" x14ac:dyDescent="0.2">
      <c r="A133" s="1" t="s">
        <v>50</v>
      </c>
      <c r="B133" s="1" t="s">
        <v>7</v>
      </c>
      <c r="C133">
        <v>142</v>
      </c>
      <c r="D133">
        <v>184</v>
      </c>
      <c r="E133">
        <v>0.77200000000000002</v>
      </c>
      <c r="F133" s="1" t="s">
        <v>65</v>
      </c>
    </row>
    <row r="134" spans="1:6" x14ac:dyDescent="0.2">
      <c r="A134" s="1" t="s">
        <v>107</v>
      </c>
      <c r="B134" s="1" t="s">
        <v>12</v>
      </c>
      <c r="C134">
        <v>142</v>
      </c>
      <c r="D134">
        <v>184</v>
      </c>
      <c r="E134">
        <v>0.77200000000000002</v>
      </c>
      <c r="F134" s="1" t="s">
        <v>65</v>
      </c>
    </row>
    <row r="135" spans="1:6" x14ac:dyDescent="0.2">
      <c r="A135" s="1" t="s">
        <v>108</v>
      </c>
      <c r="B135" s="1" t="s">
        <v>12</v>
      </c>
      <c r="C135">
        <v>143</v>
      </c>
      <c r="D135">
        <v>184</v>
      </c>
      <c r="E135">
        <v>0.77700000000000002</v>
      </c>
      <c r="F135" s="1" t="s">
        <v>65</v>
      </c>
    </row>
    <row r="136" spans="1:6" x14ac:dyDescent="0.2">
      <c r="A136" s="1" t="s">
        <v>109</v>
      </c>
      <c r="B136" s="1" t="s">
        <v>12</v>
      </c>
      <c r="C136">
        <v>144</v>
      </c>
      <c r="D136">
        <v>184</v>
      </c>
      <c r="E136">
        <v>0.78300000000000003</v>
      </c>
      <c r="F136" s="1" t="s">
        <v>65</v>
      </c>
    </row>
    <row r="137" spans="1:6" x14ac:dyDescent="0.2">
      <c r="A137" s="1" t="s">
        <v>34</v>
      </c>
      <c r="B137" s="1" t="s">
        <v>10</v>
      </c>
      <c r="C137">
        <v>144</v>
      </c>
      <c r="D137">
        <v>184</v>
      </c>
      <c r="E137">
        <v>0.78300000000000003</v>
      </c>
      <c r="F137" s="1" t="s">
        <v>65</v>
      </c>
    </row>
    <row r="138" spans="1:6" x14ac:dyDescent="0.2">
      <c r="A138" s="1" t="s">
        <v>69</v>
      </c>
      <c r="B138" s="1" t="s">
        <v>7</v>
      </c>
      <c r="C138">
        <v>145</v>
      </c>
      <c r="D138">
        <v>184</v>
      </c>
      <c r="E138">
        <v>0.78800000000000003</v>
      </c>
      <c r="F138" s="1" t="s">
        <v>65</v>
      </c>
    </row>
    <row r="139" spans="1:6" x14ac:dyDescent="0.2">
      <c r="A139" s="1" t="s">
        <v>29</v>
      </c>
      <c r="B139" s="1" t="s">
        <v>10</v>
      </c>
      <c r="C139">
        <v>145</v>
      </c>
      <c r="D139">
        <v>184</v>
      </c>
      <c r="E139">
        <v>0.78800000000000003</v>
      </c>
      <c r="F139" s="1" t="s">
        <v>65</v>
      </c>
    </row>
    <row r="140" spans="1:6" x14ac:dyDescent="0.2">
      <c r="A140" s="1" t="s">
        <v>110</v>
      </c>
      <c r="B140" s="1" t="s">
        <v>12</v>
      </c>
      <c r="C140">
        <v>146</v>
      </c>
      <c r="D140">
        <v>184</v>
      </c>
      <c r="E140">
        <v>0.79300000000000004</v>
      </c>
      <c r="F140" s="1" t="s">
        <v>65</v>
      </c>
    </row>
    <row r="141" spans="1:6" x14ac:dyDescent="0.2">
      <c r="A141" s="1" t="s">
        <v>111</v>
      </c>
      <c r="B141" s="1" t="s">
        <v>12</v>
      </c>
      <c r="C141">
        <v>146</v>
      </c>
      <c r="D141">
        <v>184</v>
      </c>
      <c r="E141">
        <v>0.79300000000000004</v>
      </c>
      <c r="F141" s="1" t="s">
        <v>65</v>
      </c>
    </row>
    <row r="142" spans="1:6" x14ac:dyDescent="0.2">
      <c r="A142" s="1" t="s">
        <v>112</v>
      </c>
      <c r="B142" s="1" t="s">
        <v>10</v>
      </c>
      <c r="C142">
        <v>147</v>
      </c>
      <c r="D142">
        <v>184</v>
      </c>
      <c r="E142">
        <v>0.79900000000000004</v>
      </c>
      <c r="F142" s="1" t="s">
        <v>65</v>
      </c>
    </row>
    <row r="143" spans="1:6" x14ac:dyDescent="0.2">
      <c r="A143" s="1" t="s">
        <v>81</v>
      </c>
      <c r="B143" s="1" t="s">
        <v>10</v>
      </c>
      <c r="C143">
        <v>147</v>
      </c>
      <c r="D143">
        <v>184</v>
      </c>
      <c r="E143">
        <v>0.79900000000000004</v>
      </c>
      <c r="F143" s="1" t="s">
        <v>65</v>
      </c>
    </row>
    <row r="144" spans="1:6" x14ac:dyDescent="0.2">
      <c r="A144" s="1" t="s">
        <v>113</v>
      </c>
      <c r="B144" s="1" t="s">
        <v>7</v>
      </c>
      <c r="C144">
        <v>147</v>
      </c>
      <c r="D144">
        <v>184</v>
      </c>
      <c r="E144">
        <v>0.79900000000000004</v>
      </c>
      <c r="F144" s="1" t="s">
        <v>65</v>
      </c>
    </row>
    <row r="145" spans="1:6" x14ac:dyDescent="0.2">
      <c r="A145" s="1" t="s">
        <v>38</v>
      </c>
      <c r="B145" s="1" t="s">
        <v>12</v>
      </c>
      <c r="C145">
        <v>147</v>
      </c>
      <c r="D145">
        <v>184</v>
      </c>
      <c r="E145">
        <v>0.79900000000000004</v>
      </c>
      <c r="F145" s="1" t="s">
        <v>65</v>
      </c>
    </row>
    <row r="146" spans="1:6" x14ac:dyDescent="0.2">
      <c r="A146" s="1" t="s">
        <v>39</v>
      </c>
      <c r="B146" s="1" t="s">
        <v>7</v>
      </c>
      <c r="C146">
        <v>147</v>
      </c>
      <c r="D146">
        <v>184</v>
      </c>
      <c r="E146">
        <v>0.79900000000000004</v>
      </c>
      <c r="F146" s="1" t="s">
        <v>65</v>
      </c>
    </row>
    <row r="147" spans="1:6" x14ac:dyDescent="0.2">
      <c r="A147" s="1" t="s">
        <v>114</v>
      </c>
      <c r="B147" s="1" t="s">
        <v>12</v>
      </c>
      <c r="C147">
        <v>148</v>
      </c>
      <c r="D147">
        <v>184</v>
      </c>
      <c r="E147">
        <v>0.80400000000000005</v>
      </c>
      <c r="F147" s="1" t="s">
        <v>115</v>
      </c>
    </row>
    <row r="148" spans="1:6" x14ac:dyDescent="0.2">
      <c r="A148" s="1" t="s">
        <v>116</v>
      </c>
      <c r="B148" s="1" t="s">
        <v>12</v>
      </c>
      <c r="C148">
        <v>148</v>
      </c>
      <c r="D148">
        <v>184</v>
      </c>
      <c r="E148">
        <v>0.80400000000000005</v>
      </c>
      <c r="F148" s="1" t="s">
        <v>115</v>
      </c>
    </row>
    <row r="149" spans="1:6" x14ac:dyDescent="0.2">
      <c r="A149" s="1" t="s">
        <v>117</v>
      </c>
      <c r="B149" s="1" t="s">
        <v>7</v>
      </c>
      <c r="C149">
        <v>149</v>
      </c>
      <c r="D149">
        <v>184</v>
      </c>
      <c r="E149">
        <v>0.81</v>
      </c>
      <c r="F149" s="1" t="s">
        <v>115</v>
      </c>
    </row>
    <row r="150" spans="1:6" x14ac:dyDescent="0.2">
      <c r="A150" s="1" t="s">
        <v>31</v>
      </c>
      <c r="B150" s="1" t="s">
        <v>10</v>
      </c>
      <c r="C150">
        <v>150</v>
      </c>
      <c r="D150">
        <v>184</v>
      </c>
      <c r="E150">
        <v>0.81499999999999995</v>
      </c>
      <c r="F150" s="1" t="s">
        <v>115</v>
      </c>
    </row>
    <row r="151" spans="1:6" x14ac:dyDescent="0.2">
      <c r="A151" s="1" t="s">
        <v>105</v>
      </c>
      <c r="B151" s="1" t="s">
        <v>7</v>
      </c>
      <c r="C151">
        <v>150</v>
      </c>
      <c r="D151">
        <v>184</v>
      </c>
      <c r="E151">
        <v>0.81499999999999995</v>
      </c>
      <c r="F151" s="1" t="s">
        <v>115</v>
      </c>
    </row>
    <row r="152" spans="1:6" x14ac:dyDescent="0.2">
      <c r="A152" s="1" t="s">
        <v>98</v>
      </c>
      <c r="B152" s="1" t="s">
        <v>12</v>
      </c>
      <c r="C152">
        <v>150</v>
      </c>
      <c r="D152">
        <v>184</v>
      </c>
      <c r="E152">
        <v>0.81499999999999995</v>
      </c>
      <c r="F152" s="1" t="s">
        <v>115</v>
      </c>
    </row>
    <row r="153" spans="1:6" x14ac:dyDescent="0.2">
      <c r="A153" s="1" t="s">
        <v>118</v>
      </c>
      <c r="B153" s="1" t="s">
        <v>7</v>
      </c>
      <c r="C153">
        <v>150</v>
      </c>
      <c r="D153">
        <v>184</v>
      </c>
      <c r="E153">
        <v>0.81499999999999995</v>
      </c>
      <c r="F153" s="1" t="s">
        <v>115</v>
      </c>
    </row>
    <row r="154" spans="1:6" x14ac:dyDescent="0.2">
      <c r="A154" s="1" t="s">
        <v>119</v>
      </c>
      <c r="B154" s="1" t="s">
        <v>12</v>
      </c>
      <c r="C154">
        <v>150</v>
      </c>
      <c r="D154">
        <v>184</v>
      </c>
      <c r="E154">
        <v>0.81499999999999995</v>
      </c>
      <c r="F154" s="1" t="s">
        <v>115</v>
      </c>
    </row>
    <row r="155" spans="1:6" x14ac:dyDescent="0.2">
      <c r="A155" s="1" t="s">
        <v>120</v>
      </c>
      <c r="B155" s="1" t="s">
        <v>7</v>
      </c>
      <c r="C155">
        <v>151</v>
      </c>
      <c r="D155">
        <v>184</v>
      </c>
      <c r="E155">
        <v>0.82099999999999995</v>
      </c>
      <c r="F155" s="1" t="s">
        <v>115</v>
      </c>
    </row>
    <row r="156" spans="1:6" x14ac:dyDescent="0.2">
      <c r="A156" s="1" t="s">
        <v>19</v>
      </c>
      <c r="B156" s="1" t="s">
        <v>10</v>
      </c>
      <c r="C156">
        <v>153</v>
      </c>
      <c r="D156">
        <v>184</v>
      </c>
      <c r="E156">
        <v>0.83199999999999996</v>
      </c>
      <c r="F156" s="1" t="s">
        <v>115</v>
      </c>
    </row>
    <row r="157" spans="1:6" x14ac:dyDescent="0.2">
      <c r="A157" s="1" t="s">
        <v>121</v>
      </c>
      <c r="B157" s="1" t="s">
        <v>12</v>
      </c>
      <c r="C157">
        <v>154</v>
      </c>
      <c r="D157">
        <v>184</v>
      </c>
      <c r="E157">
        <v>0.83699999999999997</v>
      </c>
      <c r="F157" s="1" t="s">
        <v>115</v>
      </c>
    </row>
    <row r="158" spans="1:6" x14ac:dyDescent="0.2">
      <c r="A158" s="1" t="s">
        <v>106</v>
      </c>
      <c r="B158" s="1" t="s">
        <v>10</v>
      </c>
      <c r="C158">
        <v>154</v>
      </c>
      <c r="D158">
        <v>184</v>
      </c>
      <c r="E158">
        <v>0.83699999999999997</v>
      </c>
      <c r="F158" s="1" t="s">
        <v>115</v>
      </c>
    </row>
    <row r="159" spans="1:6" x14ac:dyDescent="0.2">
      <c r="A159" s="1" t="s">
        <v>122</v>
      </c>
      <c r="B159" s="1" t="s">
        <v>12</v>
      </c>
      <c r="C159">
        <v>154</v>
      </c>
      <c r="D159">
        <v>184</v>
      </c>
      <c r="E159">
        <v>0.83699999999999997</v>
      </c>
      <c r="F159" s="1" t="s">
        <v>115</v>
      </c>
    </row>
    <row r="160" spans="1:6" x14ac:dyDescent="0.2">
      <c r="A160" s="1" t="s">
        <v>33</v>
      </c>
      <c r="B160" s="1" t="s">
        <v>12</v>
      </c>
      <c r="C160">
        <v>155</v>
      </c>
      <c r="D160">
        <v>184</v>
      </c>
      <c r="E160">
        <v>0.84199999999999997</v>
      </c>
      <c r="F160" s="1" t="s">
        <v>115</v>
      </c>
    </row>
    <row r="161" spans="1:6" x14ac:dyDescent="0.2">
      <c r="A161" s="1" t="s">
        <v>51</v>
      </c>
      <c r="B161" s="1" t="s">
        <v>7</v>
      </c>
      <c r="C161">
        <v>155</v>
      </c>
      <c r="D161">
        <v>184</v>
      </c>
      <c r="E161">
        <v>0.84199999999999997</v>
      </c>
      <c r="F161" s="1" t="s">
        <v>115</v>
      </c>
    </row>
    <row r="162" spans="1:6" x14ac:dyDescent="0.2">
      <c r="A162" s="1" t="s">
        <v>123</v>
      </c>
      <c r="B162" s="1" t="s">
        <v>10</v>
      </c>
      <c r="C162">
        <v>156</v>
      </c>
      <c r="D162">
        <v>184</v>
      </c>
      <c r="E162">
        <v>0.84799999999999998</v>
      </c>
      <c r="F162" s="1" t="s">
        <v>115</v>
      </c>
    </row>
    <row r="163" spans="1:6" x14ac:dyDescent="0.2">
      <c r="A163" s="1" t="s">
        <v>89</v>
      </c>
      <c r="B163" s="1" t="s">
        <v>12</v>
      </c>
      <c r="C163">
        <v>156</v>
      </c>
      <c r="D163">
        <v>184</v>
      </c>
      <c r="E163">
        <v>0.84799999999999998</v>
      </c>
      <c r="F163" s="1" t="s">
        <v>115</v>
      </c>
    </row>
    <row r="164" spans="1:6" x14ac:dyDescent="0.2">
      <c r="A164" s="1" t="s">
        <v>124</v>
      </c>
      <c r="B164" s="1" t="s">
        <v>10</v>
      </c>
      <c r="C164">
        <v>156</v>
      </c>
      <c r="D164">
        <v>184</v>
      </c>
      <c r="E164">
        <v>0.84799999999999998</v>
      </c>
      <c r="F164" s="1" t="s">
        <v>115</v>
      </c>
    </row>
    <row r="165" spans="1:6" x14ac:dyDescent="0.2">
      <c r="A165" s="1" t="s">
        <v>68</v>
      </c>
      <c r="B165" s="1" t="s">
        <v>12</v>
      </c>
      <c r="C165">
        <v>157</v>
      </c>
      <c r="D165">
        <v>184</v>
      </c>
      <c r="E165">
        <v>0.85299999999999998</v>
      </c>
      <c r="F165" s="1" t="s">
        <v>115</v>
      </c>
    </row>
    <row r="166" spans="1:6" x14ac:dyDescent="0.2">
      <c r="A166" s="1" t="s">
        <v>125</v>
      </c>
      <c r="B166" s="1" t="s">
        <v>7</v>
      </c>
      <c r="C166">
        <v>157</v>
      </c>
      <c r="D166">
        <v>184</v>
      </c>
      <c r="E166">
        <v>0.85299999999999998</v>
      </c>
      <c r="F166" s="1" t="s">
        <v>115</v>
      </c>
    </row>
    <row r="167" spans="1:6" x14ac:dyDescent="0.2">
      <c r="A167" s="1" t="s">
        <v>14</v>
      </c>
      <c r="B167" s="1" t="s">
        <v>12</v>
      </c>
      <c r="C167">
        <v>157</v>
      </c>
      <c r="D167">
        <v>184</v>
      </c>
      <c r="E167">
        <v>0.85299999999999998</v>
      </c>
      <c r="F167" s="1" t="s">
        <v>115</v>
      </c>
    </row>
    <row r="168" spans="1:6" x14ac:dyDescent="0.2">
      <c r="A168" s="1" t="s">
        <v>112</v>
      </c>
      <c r="B168" s="1" t="s">
        <v>7</v>
      </c>
      <c r="C168">
        <v>158</v>
      </c>
      <c r="D168">
        <v>184</v>
      </c>
      <c r="E168">
        <v>0.85899999999999999</v>
      </c>
      <c r="F168" s="1" t="s">
        <v>115</v>
      </c>
    </row>
    <row r="169" spans="1:6" x14ac:dyDescent="0.2">
      <c r="A169" s="1" t="s">
        <v>52</v>
      </c>
      <c r="B169" s="1" t="s">
        <v>12</v>
      </c>
      <c r="C169">
        <v>158</v>
      </c>
      <c r="D169">
        <v>184</v>
      </c>
      <c r="E169">
        <v>0.85899999999999999</v>
      </c>
      <c r="F169" s="1" t="s">
        <v>115</v>
      </c>
    </row>
    <row r="170" spans="1:6" x14ac:dyDescent="0.2">
      <c r="A170" s="1" t="s">
        <v>97</v>
      </c>
      <c r="B170" s="1" t="s">
        <v>7</v>
      </c>
      <c r="C170">
        <v>159</v>
      </c>
      <c r="D170">
        <v>184</v>
      </c>
      <c r="E170">
        <v>0.86399999999999999</v>
      </c>
      <c r="F170" s="1" t="s">
        <v>115</v>
      </c>
    </row>
    <row r="171" spans="1:6" x14ac:dyDescent="0.2">
      <c r="A171" s="1" t="s">
        <v>108</v>
      </c>
      <c r="B171" s="1" t="s">
        <v>7</v>
      </c>
      <c r="C171">
        <v>159</v>
      </c>
      <c r="D171">
        <v>184</v>
      </c>
      <c r="E171">
        <v>0.86399999999999999</v>
      </c>
      <c r="F171" s="1" t="s">
        <v>115</v>
      </c>
    </row>
    <row r="172" spans="1:6" x14ac:dyDescent="0.2">
      <c r="A172" s="1" t="s">
        <v>126</v>
      </c>
      <c r="B172" s="1" t="s">
        <v>7</v>
      </c>
      <c r="C172">
        <v>159</v>
      </c>
      <c r="D172">
        <v>184</v>
      </c>
      <c r="E172">
        <v>0.86399999999999999</v>
      </c>
      <c r="F172" s="1" t="s">
        <v>115</v>
      </c>
    </row>
    <row r="173" spans="1:6" x14ac:dyDescent="0.2">
      <c r="A173" s="1" t="s">
        <v>27</v>
      </c>
      <c r="B173" s="1" t="s">
        <v>12</v>
      </c>
      <c r="C173">
        <v>160</v>
      </c>
      <c r="D173">
        <v>184</v>
      </c>
      <c r="E173">
        <v>0.87</v>
      </c>
      <c r="F173" s="1" t="s">
        <v>115</v>
      </c>
    </row>
    <row r="174" spans="1:6" x14ac:dyDescent="0.2">
      <c r="A174" s="1" t="s">
        <v>30</v>
      </c>
      <c r="B174" s="1" t="s">
        <v>7</v>
      </c>
      <c r="C174">
        <v>160</v>
      </c>
      <c r="D174">
        <v>184</v>
      </c>
      <c r="E174">
        <v>0.87</v>
      </c>
      <c r="F174" s="1" t="s">
        <v>115</v>
      </c>
    </row>
    <row r="175" spans="1:6" x14ac:dyDescent="0.2">
      <c r="A175" s="1" t="s">
        <v>127</v>
      </c>
      <c r="B175" s="1" t="s">
        <v>7</v>
      </c>
      <c r="C175">
        <v>160</v>
      </c>
      <c r="D175">
        <v>184</v>
      </c>
      <c r="E175">
        <v>0.87</v>
      </c>
      <c r="F175" s="1" t="s">
        <v>115</v>
      </c>
    </row>
    <row r="176" spans="1:6" x14ac:dyDescent="0.2">
      <c r="A176" s="1" t="s">
        <v>128</v>
      </c>
      <c r="B176" s="1" t="s">
        <v>12</v>
      </c>
      <c r="C176">
        <v>160</v>
      </c>
      <c r="D176">
        <v>184</v>
      </c>
      <c r="E176">
        <v>0.87</v>
      </c>
      <c r="F176" s="1" t="s">
        <v>115</v>
      </c>
    </row>
    <row r="177" spans="1:6" x14ac:dyDescent="0.2">
      <c r="A177" s="1" t="s">
        <v>11</v>
      </c>
      <c r="B177" s="1" t="s">
        <v>7</v>
      </c>
      <c r="C177">
        <v>160</v>
      </c>
      <c r="D177">
        <v>184</v>
      </c>
      <c r="E177">
        <v>0.87</v>
      </c>
      <c r="F177" s="1" t="s">
        <v>115</v>
      </c>
    </row>
    <row r="178" spans="1:6" x14ac:dyDescent="0.2">
      <c r="A178" s="1" t="s">
        <v>129</v>
      </c>
      <c r="B178" s="1" t="s">
        <v>10</v>
      </c>
      <c r="C178">
        <v>161</v>
      </c>
      <c r="D178">
        <v>184</v>
      </c>
      <c r="E178">
        <v>0.875</v>
      </c>
      <c r="F178" s="1" t="s">
        <v>115</v>
      </c>
    </row>
    <row r="179" spans="1:6" x14ac:dyDescent="0.2">
      <c r="A179" s="1" t="s">
        <v>130</v>
      </c>
      <c r="B179" s="1" t="s">
        <v>7</v>
      </c>
      <c r="C179">
        <v>161</v>
      </c>
      <c r="D179">
        <v>184</v>
      </c>
      <c r="E179">
        <v>0.875</v>
      </c>
      <c r="F179" s="1" t="s">
        <v>115</v>
      </c>
    </row>
    <row r="180" spans="1:6" x14ac:dyDescent="0.2">
      <c r="A180" s="1" t="s">
        <v>131</v>
      </c>
      <c r="B180" s="1" t="s">
        <v>12</v>
      </c>
      <c r="C180">
        <v>161</v>
      </c>
      <c r="D180">
        <v>184</v>
      </c>
      <c r="E180">
        <v>0.875</v>
      </c>
      <c r="F180" s="1" t="s">
        <v>115</v>
      </c>
    </row>
    <row r="181" spans="1:6" x14ac:dyDescent="0.2">
      <c r="A181" s="1" t="s">
        <v>92</v>
      </c>
      <c r="B181" s="1" t="s">
        <v>12</v>
      </c>
      <c r="C181">
        <v>161</v>
      </c>
      <c r="D181">
        <v>184</v>
      </c>
      <c r="E181">
        <v>0.875</v>
      </c>
      <c r="F181" s="1" t="s">
        <v>115</v>
      </c>
    </row>
    <row r="182" spans="1:6" x14ac:dyDescent="0.2">
      <c r="A182" s="1" t="s">
        <v>132</v>
      </c>
      <c r="B182" s="1" t="s">
        <v>10</v>
      </c>
      <c r="C182">
        <v>161</v>
      </c>
      <c r="D182">
        <v>184</v>
      </c>
      <c r="E182">
        <v>0.875</v>
      </c>
      <c r="F182" s="1" t="s">
        <v>115</v>
      </c>
    </row>
    <row r="183" spans="1:6" x14ac:dyDescent="0.2">
      <c r="A183" s="1" t="s">
        <v>133</v>
      </c>
      <c r="B183" s="1" t="s">
        <v>10</v>
      </c>
      <c r="C183">
        <v>162</v>
      </c>
      <c r="D183">
        <v>184</v>
      </c>
      <c r="E183">
        <v>0.88</v>
      </c>
      <c r="F183" s="1" t="s">
        <v>115</v>
      </c>
    </row>
    <row r="184" spans="1:6" x14ac:dyDescent="0.2">
      <c r="A184" s="1" t="s">
        <v>69</v>
      </c>
      <c r="B184" s="1" t="s">
        <v>12</v>
      </c>
      <c r="C184">
        <v>162</v>
      </c>
      <c r="D184">
        <v>184</v>
      </c>
      <c r="E184">
        <v>0.88</v>
      </c>
      <c r="F184" s="1" t="s">
        <v>115</v>
      </c>
    </row>
    <row r="185" spans="1:6" x14ac:dyDescent="0.2">
      <c r="A185" s="1" t="s">
        <v>134</v>
      </c>
      <c r="B185" s="1" t="s">
        <v>12</v>
      </c>
      <c r="C185">
        <v>162</v>
      </c>
      <c r="D185">
        <v>184</v>
      </c>
      <c r="E185">
        <v>0.88</v>
      </c>
      <c r="F185" s="1" t="s">
        <v>115</v>
      </c>
    </row>
    <row r="186" spans="1:6" x14ac:dyDescent="0.2">
      <c r="A186" s="1" t="s">
        <v>135</v>
      </c>
      <c r="B186" s="1" t="s">
        <v>12</v>
      </c>
      <c r="C186">
        <v>162</v>
      </c>
      <c r="D186">
        <v>184</v>
      </c>
      <c r="E186">
        <v>0.88</v>
      </c>
      <c r="F186" s="1" t="s">
        <v>115</v>
      </c>
    </row>
    <row r="187" spans="1:6" x14ac:dyDescent="0.2">
      <c r="A187" s="1" t="s">
        <v>136</v>
      </c>
      <c r="B187" s="1" t="s">
        <v>7</v>
      </c>
      <c r="C187">
        <v>162</v>
      </c>
      <c r="D187">
        <v>184</v>
      </c>
      <c r="E187">
        <v>0.88</v>
      </c>
      <c r="F187" s="1" t="s">
        <v>115</v>
      </c>
    </row>
    <row r="188" spans="1:6" x14ac:dyDescent="0.2">
      <c r="A188" s="1" t="s">
        <v>124</v>
      </c>
      <c r="B188" s="1" t="s">
        <v>12</v>
      </c>
      <c r="C188">
        <v>162</v>
      </c>
      <c r="D188">
        <v>184</v>
      </c>
      <c r="E188">
        <v>0.88</v>
      </c>
      <c r="F188" s="1" t="s">
        <v>115</v>
      </c>
    </row>
    <row r="189" spans="1:6" x14ac:dyDescent="0.2">
      <c r="A189" s="1" t="s">
        <v>133</v>
      </c>
      <c r="B189" s="1" t="s">
        <v>12</v>
      </c>
      <c r="C189">
        <v>163</v>
      </c>
      <c r="D189">
        <v>184</v>
      </c>
      <c r="E189">
        <v>0.88600000000000001</v>
      </c>
      <c r="F189" s="1" t="s">
        <v>115</v>
      </c>
    </row>
    <row r="190" spans="1:6" x14ac:dyDescent="0.2">
      <c r="A190" s="1" t="s">
        <v>137</v>
      </c>
      <c r="B190" s="1" t="s">
        <v>10</v>
      </c>
      <c r="C190">
        <v>163</v>
      </c>
      <c r="D190">
        <v>184</v>
      </c>
      <c r="E190">
        <v>0.88600000000000001</v>
      </c>
      <c r="F190" s="1" t="s">
        <v>115</v>
      </c>
    </row>
    <row r="191" spans="1:6" x14ac:dyDescent="0.2">
      <c r="A191" s="1" t="s">
        <v>138</v>
      </c>
      <c r="B191" s="1" t="s">
        <v>7</v>
      </c>
      <c r="C191">
        <v>163</v>
      </c>
      <c r="D191">
        <v>184</v>
      </c>
      <c r="E191">
        <v>0.88600000000000001</v>
      </c>
      <c r="F191" s="1" t="s">
        <v>115</v>
      </c>
    </row>
    <row r="192" spans="1:6" x14ac:dyDescent="0.2">
      <c r="A192" s="1" t="s">
        <v>50</v>
      </c>
      <c r="B192" s="1" t="s">
        <v>12</v>
      </c>
      <c r="C192">
        <v>163</v>
      </c>
      <c r="D192">
        <v>184</v>
      </c>
      <c r="E192">
        <v>0.88600000000000001</v>
      </c>
      <c r="F192" s="1" t="s">
        <v>115</v>
      </c>
    </row>
    <row r="193" spans="1:6" x14ac:dyDescent="0.2">
      <c r="A193" s="1" t="s">
        <v>139</v>
      </c>
      <c r="B193" s="1" t="s">
        <v>7</v>
      </c>
      <c r="C193">
        <v>163</v>
      </c>
      <c r="D193">
        <v>184</v>
      </c>
      <c r="E193">
        <v>0.88600000000000001</v>
      </c>
      <c r="F193" s="1" t="s">
        <v>115</v>
      </c>
    </row>
    <row r="194" spans="1:6" x14ac:dyDescent="0.2">
      <c r="A194" s="1" t="s">
        <v>58</v>
      </c>
      <c r="B194" s="1" t="s">
        <v>10</v>
      </c>
      <c r="C194">
        <v>163</v>
      </c>
      <c r="D194">
        <v>184</v>
      </c>
      <c r="E194">
        <v>0.88600000000000001</v>
      </c>
      <c r="F194" s="1" t="s">
        <v>115</v>
      </c>
    </row>
    <row r="195" spans="1:6" x14ac:dyDescent="0.2">
      <c r="A195" s="1" t="s">
        <v>74</v>
      </c>
      <c r="B195" s="1" t="s">
        <v>7</v>
      </c>
      <c r="C195">
        <v>163</v>
      </c>
      <c r="D195">
        <v>184</v>
      </c>
      <c r="E195">
        <v>0.88600000000000001</v>
      </c>
      <c r="F195" s="1" t="s">
        <v>115</v>
      </c>
    </row>
    <row r="196" spans="1:6" x14ac:dyDescent="0.2">
      <c r="A196" s="1" t="s">
        <v>118</v>
      </c>
      <c r="B196" s="1" t="s">
        <v>10</v>
      </c>
      <c r="C196">
        <v>163</v>
      </c>
      <c r="D196">
        <v>184</v>
      </c>
      <c r="E196">
        <v>0.88600000000000001</v>
      </c>
      <c r="F196" s="1" t="s">
        <v>115</v>
      </c>
    </row>
    <row r="197" spans="1:6" x14ac:dyDescent="0.2">
      <c r="A197" s="1" t="s">
        <v>133</v>
      </c>
      <c r="B197" s="1" t="s">
        <v>7</v>
      </c>
      <c r="C197">
        <v>164</v>
      </c>
      <c r="D197">
        <v>184</v>
      </c>
      <c r="E197">
        <v>0.89100000000000001</v>
      </c>
      <c r="F197" s="1" t="s">
        <v>115</v>
      </c>
    </row>
    <row r="198" spans="1:6" x14ac:dyDescent="0.2">
      <c r="A198" s="1" t="s">
        <v>23</v>
      </c>
      <c r="B198" s="1" t="s">
        <v>7</v>
      </c>
      <c r="C198">
        <v>164</v>
      </c>
      <c r="D198">
        <v>184</v>
      </c>
      <c r="E198">
        <v>0.89100000000000001</v>
      </c>
      <c r="F198" s="1" t="s">
        <v>115</v>
      </c>
    </row>
    <row r="199" spans="1:6" x14ac:dyDescent="0.2">
      <c r="A199" s="1" t="s">
        <v>60</v>
      </c>
      <c r="B199" s="1" t="s">
        <v>12</v>
      </c>
      <c r="C199">
        <v>164</v>
      </c>
      <c r="D199">
        <v>184</v>
      </c>
      <c r="E199">
        <v>0.89100000000000001</v>
      </c>
      <c r="F199" s="1" t="s">
        <v>115</v>
      </c>
    </row>
    <row r="200" spans="1:6" x14ac:dyDescent="0.2">
      <c r="A200" s="1" t="s">
        <v>100</v>
      </c>
      <c r="B200" s="1" t="s">
        <v>7</v>
      </c>
      <c r="C200">
        <v>164</v>
      </c>
      <c r="D200">
        <v>184</v>
      </c>
      <c r="E200">
        <v>0.89100000000000001</v>
      </c>
      <c r="F200" s="1" t="s">
        <v>115</v>
      </c>
    </row>
    <row r="201" spans="1:6" x14ac:dyDescent="0.2">
      <c r="A201" s="1" t="s">
        <v>140</v>
      </c>
      <c r="B201" s="1" t="s">
        <v>7</v>
      </c>
      <c r="C201">
        <v>164</v>
      </c>
      <c r="D201">
        <v>184</v>
      </c>
      <c r="E201">
        <v>0.89100000000000001</v>
      </c>
      <c r="F201" s="1" t="s">
        <v>115</v>
      </c>
    </row>
    <row r="202" spans="1:6" x14ac:dyDescent="0.2">
      <c r="A202" s="1" t="s">
        <v>114</v>
      </c>
      <c r="B202" s="1" t="s">
        <v>7</v>
      </c>
      <c r="C202">
        <v>164</v>
      </c>
      <c r="D202">
        <v>184</v>
      </c>
      <c r="E202">
        <v>0.89100000000000001</v>
      </c>
      <c r="F202" s="1" t="s">
        <v>115</v>
      </c>
    </row>
    <row r="203" spans="1:6" x14ac:dyDescent="0.2">
      <c r="A203" s="1" t="s">
        <v>79</v>
      </c>
      <c r="B203" s="1" t="s">
        <v>12</v>
      </c>
      <c r="C203">
        <v>164</v>
      </c>
      <c r="D203">
        <v>184</v>
      </c>
      <c r="E203">
        <v>0.89100000000000001</v>
      </c>
      <c r="F203" s="1" t="s">
        <v>115</v>
      </c>
    </row>
    <row r="204" spans="1:6" x14ac:dyDescent="0.2">
      <c r="A204" s="1" t="s">
        <v>112</v>
      </c>
      <c r="B204" s="1" t="s">
        <v>12</v>
      </c>
      <c r="C204">
        <v>165</v>
      </c>
      <c r="D204">
        <v>184</v>
      </c>
      <c r="E204">
        <v>0.89700000000000002</v>
      </c>
      <c r="F204" s="1" t="s">
        <v>115</v>
      </c>
    </row>
    <row r="205" spans="1:6" x14ac:dyDescent="0.2">
      <c r="A205" s="1" t="s">
        <v>141</v>
      </c>
      <c r="B205" s="1" t="s">
        <v>10</v>
      </c>
      <c r="C205">
        <v>165</v>
      </c>
      <c r="D205">
        <v>184</v>
      </c>
      <c r="E205">
        <v>0.89700000000000002</v>
      </c>
      <c r="F205" s="1" t="s">
        <v>115</v>
      </c>
    </row>
    <row r="206" spans="1:6" x14ac:dyDescent="0.2">
      <c r="A206" s="1" t="s">
        <v>142</v>
      </c>
      <c r="B206" s="1" t="s">
        <v>10</v>
      </c>
      <c r="C206">
        <v>165</v>
      </c>
      <c r="D206">
        <v>184</v>
      </c>
      <c r="E206">
        <v>0.89700000000000002</v>
      </c>
      <c r="F206" s="1" t="s">
        <v>115</v>
      </c>
    </row>
    <row r="207" spans="1:6" x14ac:dyDescent="0.2">
      <c r="A207" s="1" t="s">
        <v>143</v>
      </c>
      <c r="B207" s="1" t="s">
        <v>7</v>
      </c>
      <c r="C207">
        <v>165</v>
      </c>
      <c r="D207">
        <v>184</v>
      </c>
      <c r="E207">
        <v>0.89700000000000002</v>
      </c>
      <c r="F207" s="1" t="s">
        <v>115</v>
      </c>
    </row>
    <row r="208" spans="1:6" x14ac:dyDescent="0.2">
      <c r="A208" s="1" t="s">
        <v>144</v>
      </c>
      <c r="B208" s="1" t="s">
        <v>12</v>
      </c>
      <c r="C208">
        <v>165</v>
      </c>
      <c r="D208">
        <v>184</v>
      </c>
      <c r="E208">
        <v>0.89700000000000002</v>
      </c>
      <c r="F208" s="1" t="s">
        <v>115</v>
      </c>
    </row>
    <row r="209" spans="1:6" x14ac:dyDescent="0.2">
      <c r="A209" s="1" t="s">
        <v>145</v>
      </c>
      <c r="B209" s="1" t="s">
        <v>7</v>
      </c>
      <c r="C209">
        <v>165</v>
      </c>
      <c r="D209">
        <v>184</v>
      </c>
      <c r="E209">
        <v>0.89700000000000002</v>
      </c>
      <c r="F209" s="1" t="s">
        <v>115</v>
      </c>
    </row>
    <row r="210" spans="1:6" x14ac:dyDescent="0.2">
      <c r="A210" s="1" t="s">
        <v>146</v>
      </c>
      <c r="B210" s="1" t="s">
        <v>10</v>
      </c>
      <c r="C210">
        <v>165</v>
      </c>
      <c r="D210">
        <v>184</v>
      </c>
      <c r="E210">
        <v>0.89700000000000002</v>
      </c>
      <c r="F210" s="1" t="s">
        <v>115</v>
      </c>
    </row>
    <row r="211" spans="1:6" x14ac:dyDescent="0.2">
      <c r="A211" s="1" t="s">
        <v>118</v>
      </c>
      <c r="B211" s="1" t="s">
        <v>12</v>
      </c>
      <c r="C211">
        <v>165</v>
      </c>
      <c r="D211">
        <v>184</v>
      </c>
      <c r="E211">
        <v>0.89700000000000002</v>
      </c>
      <c r="F211" s="1" t="s">
        <v>115</v>
      </c>
    </row>
    <row r="212" spans="1:6" x14ac:dyDescent="0.2">
      <c r="A212" s="1" t="s">
        <v>122</v>
      </c>
      <c r="B212" s="1" t="s">
        <v>7</v>
      </c>
      <c r="C212">
        <v>165</v>
      </c>
      <c r="D212">
        <v>184</v>
      </c>
      <c r="E212">
        <v>0.89700000000000002</v>
      </c>
      <c r="F212" s="1" t="s">
        <v>115</v>
      </c>
    </row>
    <row r="213" spans="1:6" x14ac:dyDescent="0.2">
      <c r="A213" s="1" t="s">
        <v>134</v>
      </c>
      <c r="B213" s="1" t="s">
        <v>10</v>
      </c>
      <c r="C213">
        <v>166</v>
      </c>
      <c r="D213">
        <v>184</v>
      </c>
      <c r="E213">
        <v>0.90200000000000002</v>
      </c>
      <c r="F213" s="1" t="s">
        <v>115</v>
      </c>
    </row>
    <row r="214" spans="1:6" x14ac:dyDescent="0.2">
      <c r="A214" s="1" t="s">
        <v>104</v>
      </c>
      <c r="B214" s="1" t="s">
        <v>10</v>
      </c>
      <c r="C214">
        <v>166</v>
      </c>
      <c r="D214">
        <v>184</v>
      </c>
      <c r="E214">
        <v>0.90200000000000002</v>
      </c>
      <c r="F214" s="1" t="s">
        <v>115</v>
      </c>
    </row>
    <row r="215" spans="1:6" x14ac:dyDescent="0.2">
      <c r="A215" s="1" t="s">
        <v>96</v>
      </c>
      <c r="B215" s="1" t="s">
        <v>10</v>
      </c>
      <c r="C215">
        <v>166</v>
      </c>
      <c r="D215">
        <v>184</v>
      </c>
      <c r="E215">
        <v>0.90200000000000002</v>
      </c>
      <c r="F215" s="1" t="s">
        <v>115</v>
      </c>
    </row>
    <row r="216" spans="1:6" x14ac:dyDescent="0.2">
      <c r="A216" s="1" t="s">
        <v>147</v>
      </c>
      <c r="B216" s="1" t="s">
        <v>12</v>
      </c>
      <c r="C216">
        <v>166</v>
      </c>
      <c r="D216">
        <v>184</v>
      </c>
      <c r="E216">
        <v>0.90200000000000002</v>
      </c>
      <c r="F216" s="1" t="s">
        <v>115</v>
      </c>
    </row>
    <row r="217" spans="1:6" x14ac:dyDescent="0.2">
      <c r="A217" s="1" t="s">
        <v>119</v>
      </c>
      <c r="B217" s="1" t="s">
        <v>7</v>
      </c>
      <c r="C217">
        <v>166</v>
      </c>
      <c r="D217">
        <v>184</v>
      </c>
      <c r="E217">
        <v>0.90200000000000002</v>
      </c>
      <c r="F217" s="1" t="s">
        <v>115</v>
      </c>
    </row>
    <row r="218" spans="1:6" x14ac:dyDescent="0.2">
      <c r="A218" s="1" t="s">
        <v>148</v>
      </c>
      <c r="B218" s="1" t="s">
        <v>7</v>
      </c>
      <c r="C218">
        <v>167</v>
      </c>
      <c r="D218">
        <v>184</v>
      </c>
      <c r="E218">
        <v>0.90800000000000003</v>
      </c>
      <c r="F218" s="1" t="s">
        <v>115</v>
      </c>
    </row>
    <row r="219" spans="1:6" x14ac:dyDescent="0.2">
      <c r="A219" s="1" t="s">
        <v>29</v>
      </c>
      <c r="B219" s="1" t="s">
        <v>12</v>
      </c>
      <c r="C219">
        <v>167</v>
      </c>
      <c r="D219">
        <v>184</v>
      </c>
      <c r="E219">
        <v>0.90800000000000003</v>
      </c>
      <c r="F219" s="1" t="s">
        <v>115</v>
      </c>
    </row>
    <row r="220" spans="1:6" x14ac:dyDescent="0.2">
      <c r="A220" s="1" t="s">
        <v>149</v>
      </c>
      <c r="B220" s="1" t="s">
        <v>7</v>
      </c>
      <c r="C220">
        <v>167</v>
      </c>
      <c r="D220">
        <v>184</v>
      </c>
      <c r="E220">
        <v>0.90800000000000003</v>
      </c>
      <c r="F220" s="1" t="s">
        <v>115</v>
      </c>
    </row>
    <row r="221" spans="1:6" x14ac:dyDescent="0.2">
      <c r="A221" s="1" t="s">
        <v>150</v>
      </c>
      <c r="B221" s="1" t="s">
        <v>12</v>
      </c>
      <c r="C221">
        <v>167</v>
      </c>
      <c r="D221">
        <v>184</v>
      </c>
      <c r="E221">
        <v>0.90800000000000003</v>
      </c>
      <c r="F221" s="1" t="s">
        <v>115</v>
      </c>
    </row>
    <row r="222" spans="1:6" x14ac:dyDescent="0.2">
      <c r="A222" s="1" t="s">
        <v>151</v>
      </c>
      <c r="B222" s="1" t="s">
        <v>7</v>
      </c>
      <c r="C222">
        <v>167</v>
      </c>
      <c r="D222">
        <v>184</v>
      </c>
      <c r="E222">
        <v>0.90800000000000003</v>
      </c>
      <c r="F222" s="1" t="s">
        <v>115</v>
      </c>
    </row>
    <row r="223" spans="1:6" x14ac:dyDescent="0.2">
      <c r="A223" s="1" t="s">
        <v>132</v>
      </c>
      <c r="B223" s="1" t="s">
        <v>12</v>
      </c>
      <c r="C223">
        <v>167</v>
      </c>
      <c r="D223">
        <v>184</v>
      </c>
      <c r="E223">
        <v>0.90800000000000003</v>
      </c>
      <c r="F223" s="1" t="s">
        <v>115</v>
      </c>
    </row>
    <row r="224" spans="1:6" x14ac:dyDescent="0.2">
      <c r="A224" s="1" t="s">
        <v>18</v>
      </c>
      <c r="B224" s="1" t="s">
        <v>7</v>
      </c>
      <c r="C224">
        <v>167</v>
      </c>
      <c r="D224">
        <v>184</v>
      </c>
      <c r="E224">
        <v>0.90800000000000003</v>
      </c>
      <c r="F224" s="1" t="s">
        <v>115</v>
      </c>
    </row>
    <row r="225" spans="1:6" x14ac:dyDescent="0.2">
      <c r="A225" s="1" t="s">
        <v>152</v>
      </c>
      <c r="B225" s="1" t="s">
        <v>12</v>
      </c>
      <c r="C225">
        <v>167</v>
      </c>
      <c r="D225">
        <v>184</v>
      </c>
      <c r="E225">
        <v>0.90800000000000003</v>
      </c>
      <c r="F225" s="1" t="s">
        <v>115</v>
      </c>
    </row>
    <row r="226" spans="1:6" x14ac:dyDescent="0.2">
      <c r="A226" s="1" t="s">
        <v>87</v>
      </c>
      <c r="B226" s="1" t="s">
        <v>10</v>
      </c>
      <c r="C226">
        <v>168</v>
      </c>
      <c r="D226">
        <v>184</v>
      </c>
      <c r="E226">
        <v>0.91300000000000003</v>
      </c>
      <c r="F226" s="1" t="s">
        <v>115</v>
      </c>
    </row>
    <row r="227" spans="1:6" x14ac:dyDescent="0.2">
      <c r="A227" s="1" t="s">
        <v>129</v>
      </c>
      <c r="B227" s="1" t="s">
        <v>12</v>
      </c>
      <c r="C227">
        <v>168</v>
      </c>
      <c r="D227">
        <v>184</v>
      </c>
      <c r="E227">
        <v>0.91300000000000003</v>
      </c>
      <c r="F227" s="1" t="s">
        <v>115</v>
      </c>
    </row>
    <row r="228" spans="1:6" x14ac:dyDescent="0.2">
      <c r="A228" s="1" t="s">
        <v>44</v>
      </c>
      <c r="B228" s="1" t="s">
        <v>10</v>
      </c>
      <c r="C228">
        <v>169</v>
      </c>
      <c r="D228">
        <v>184</v>
      </c>
      <c r="E228">
        <v>0.91800000000000004</v>
      </c>
      <c r="F228" s="1" t="s">
        <v>115</v>
      </c>
    </row>
    <row r="229" spans="1:6" x14ac:dyDescent="0.2">
      <c r="A229" s="1" t="s">
        <v>146</v>
      </c>
      <c r="B229" s="1" t="s">
        <v>7</v>
      </c>
      <c r="C229">
        <v>169</v>
      </c>
      <c r="D229">
        <v>184</v>
      </c>
      <c r="E229">
        <v>0.91800000000000004</v>
      </c>
      <c r="F229" s="1" t="s">
        <v>115</v>
      </c>
    </row>
    <row r="230" spans="1:6" x14ac:dyDescent="0.2">
      <c r="A230" s="1" t="s">
        <v>107</v>
      </c>
      <c r="B230" s="1" t="s">
        <v>7</v>
      </c>
      <c r="C230">
        <v>169</v>
      </c>
      <c r="D230">
        <v>184</v>
      </c>
      <c r="E230">
        <v>0.91800000000000004</v>
      </c>
      <c r="F230" s="1" t="s">
        <v>115</v>
      </c>
    </row>
    <row r="231" spans="1:6" x14ac:dyDescent="0.2">
      <c r="A231" s="1" t="s">
        <v>84</v>
      </c>
      <c r="B231" s="1" t="s">
        <v>10</v>
      </c>
      <c r="C231">
        <v>169</v>
      </c>
      <c r="D231">
        <v>184</v>
      </c>
      <c r="E231">
        <v>0.91800000000000004</v>
      </c>
      <c r="F231" s="1" t="s">
        <v>115</v>
      </c>
    </row>
    <row r="232" spans="1:6" x14ac:dyDescent="0.2">
      <c r="A232" s="1" t="s">
        <v>148</v>
      </c>
      <c r="B232" s="1" t="s">
        <v>10</v>
      </c>
      <c r="C232">
        <v>170</v>
      </c>
      <c r="D232">
        <v>184</v>
      </c>
      <c r="E232">
        <v>0.92400000000000004</v>
      </c>
      <c r="F232" s="1" t="s">
        <v>115</v>
      </c>
    </row>
    <row r="233" spans="1:6" x14ac:dyDescent="0.2">
      <c r="A233" s="1" t="s">
        <v>149</v>
      </c>
      <c r="B233" s="1" t="s">
        <v>12</v>
      </c>
      <c r="C233">
        <v>170</v>
      </c>
      <c r="D233">
        <v>184</v>
      </c>
      <c r="E233">
        <v>0.92400000000000004</v>
      </c>
      <c r="F233" s="1" t="s">
        <v>115</v>
      </c>
    </row>
    <row r="234" spans="1:6" x14ac:dyDescent="0.2">
      <c r="A234" s="1" t="s">
        <v>153</v>
      </c>
      <c r="B234" s="1" t="s">
        <v>12</v>
      </c>
      <c r="C234">
        <v>170</v>
      </c>
      <c r="D234">
        <v>184</v>
      </c>
      <c r="E234">
        <v>0.92400000000000004</v>
      </c>
      <c r="F234" s="1" t="s">
        <v>115</v>
      </c>
    </row>
    <row r="235" spans="1:6" x14ac:dyDescent="0.2">
      <c r="A235" s="1" t="s">
        <v>53</v>
      </c>
      <c r="B235" s="1" t="s">
        <v>10</v>
      </c>
      <c r="C235">
        <v>170</v>
      </c>
      <c r="D235">
        <v>184</v>
      </c>
      <c r="E235">
        <v>0.92400000000000004</v>
      </c>
      <c r="F235" s="1" t="s">
        <v>115</v>
      </c>
    </row>
    <row r="236" spans="1:6" x14ac:dyDescent="0.2">
      <c r="A236" s="1" t="s">
        <v>47</v>
      </c>
      <c r="B236" s="1" t="s">
        <v>7</v>
      </c>
      <c r="C236">
        <v>170</v>
      </c>
      <c r="D236">
        <v>184</v>
      </c>
      <c r="E236">
        <v>0.92400000000000004</v>
      </c>
      <c r="F236" s="1" t="s">
        <v>115</v>
      </c>
    </row>
    <row r="237" spans="1:6" x14ac:dyDescent="0.2">
      <c r="A237" s="1" t="s">
        <v>154</v>
      </c>
      <c r="B237" s="1" t="s">
        <v>10</v>
      </c>
      <c r="C237">
        <v>170</v>
      </c>
      <c r="D237">
        <v>184</v>
      </c>
      <c r="E237">
        <v>0.92400000000000004</v>
      </c>
      <c r="F237" s="1" t="s">
        <v>115</v>
      </c>
    </row>
    <row r="238" spans="1:6" x14ac:dyDescent="0.2">
      <c r="A238" s="1" t="s">
        <v>140</v>
      </c>
      <c r="B238" s="1" t="s">
        <v>10</v>
      </c>
      <c r="C238">
        <v>171</v>
      </c>
      <c r="D238">
        <v>184</v>
      </c>
      <c r="E238">
        <v>0.92900000000000005</v>
      </c>
      <c r="F238" s="1" t="s">
        <v>115</v>
      </c>
    </row>
    <row r="239" spans="1:6" x14ac:dyDescent="0.2">
      <c r="A239" s="1" t="s">
        <v>72</v>
      </c>
      <c r="B239" s="1" t="s">
        <v>7</v>
      </c>
      <c r="C239">
        <v>171</v>
      </c>
      <c r="D239">
        <v>184</v>
      </c>
      <c r="E239">
        <v>0.92900000000000005</v>
      </c>
      <c r="F239" s="1" t="s">
        <v>115</v>
      </c>
    </row>
    <row r="240" spans="1:6" x14ac:dyDescent="0.2">
      <c r="A240" s="1" t="s">
        <v>37</v>
      </c>
      <c r="B240" s="1" t="s">
        <v>10</v>
      </c>
      <c r="C240">
        <v>171</v>
      </c>
      <c r="D240">
        <v>184</v>
      </c>
      <c r="E240">
        <v>0.92900000000000005</v>
      </c>
      <c r="F240" s="1" t="s">
        <v>115</v>
      </c>
    </row>
    <row r="241" spans="1:6" x14ac:dyDescent="0.2">
      <c r="A241" s="1" t="s">
        <v>86</v>
      </c>
      <c r="B241" s="1" t="s">
        <v>10</v>
      </c>
      <c r="C241">
        <v>171</v>
      </c>
      <c r="D241">
        <v>184</v>
      </c>
      <c r="E241">
        <v>0.92900000000000005</v>
      </c>
      <c r="F241" s="1" t="s">
        <v>115</v>
      </c>
    </row>
    <row r="242" spans="1:6" x14ac:dyDescent="0.2">
      <c r="A242" s="1" t="s">
        <v>16</v>
      </c>
      <c r="B242" s="1" t="s">
        <v>12</v>
      </c>
      <c r="C242">
        <v>171</v>
      </c>
      <c r="D242">
        <v>184</v>
      </c>
      <c r="E242">
        <v>0.92900000000000005</v>
      </c>
      <c r="F242" s="1" t="s">
        <v>115</v>
      </c>
    </row>
    <row r="243" spans="1:6" x14ac:dyDescent="0.2">
      <c r="A243" s="1" t="s">
        <v>155</v>
      </c>
      <c r="B243" s="1" t="s">
        <v>12</v>
      </c>
      <c r="C243">
        <v>172</v>
      </c>
      <c r="D243">
        <v>184</v>
      </c>
      <c r="E243">
        <v>0.93500000000000005</v>
      </c>
      <c r="F243" s="1" t="s">
        <v>115</v>
      </c>
    </row>
    <row r="244" spans="1:6" x14ac:dyDescent="0.2">
      <c r="A244" s="1" t="s">
        <v>70</v>
      </c>
      <c r="B244" s="1" t="s">
        <v>7</v>
      </c>
      <c r="C244">
        <v>172</v>
      </c>
      <c r="D244">
        <v>184</v>
      </c>
      <c r="E244">
        <v>0.93500000000000005</v>
      </c>
      <c r="F244" s="1" t="s">
        <v>115</v>
      </c>
    </row>
    <row r="245" spans="1:6" x14ac:dyDescent="0.2">
      <c r="A245" s="1" t="s">
        <v>156</v>
      </c>
      <c r="B245" s="1" t="s">
        <v>10</v>
      </c>
      <c r="C245">
        <v>172</v>
      </c>
      <c r="D245">
        <v>184</v>
      </c>
      <c r="E245">
        <v>0.93500000000000005</v>
      </c>
      <c r="F245" s="1" t="s">
        <v>115</v>
      </c>
    </row>
    <row r="246" spans="1:6" x14ac:dyDescent="0.2">
      <c r="A246" s="1" t="s">
        <v>109</v>
      </c>
      <c r="B246" s="1" t="s">
        <v>10</v>
      </c>
      <c r="C246">
        <v>172</v>
      </c>
      <c r="D246">
        <v>184</v>
      </c>
      <c r="E246">
        <v>0.93500000000000005</v>
      </c>
      <c r="F246" s="1" t="s">
        <v>115</v>
      </c>
    </row>
    <row r="247" spans="1:6" x14ac:dyDescent="0.2">
      <c r="A247" s="1" t="s">
        <v>157</v>
      </c>
      <c r="B247" s="1" t="s">
        <v>7</v>
      </c>
      <c r="C247">
        <v>172</v>
      </c>
      <c r="D247">
        <v>184</v>
      </c>
      <c r="E247">
        <v>0.93500000000000005</v>
      </c>
      <c r="F247" s="1" t="s">
        <v>115</v>
      </c>
    </row>
    <row r="248" spans="1:6" x14ac:dyDescent="0.2">
      <c r="A248" s="1" t="s">
        <v>83</v>
      </c>
      <c r="B248" s="1" t="s">
        <v>12</v>
      </c>
      <c r="C248">
        <v>172</v>
      </c>
      <c r="D248">
        <v>184</v>
      </c>
      <c r="E248">
        <v>0.93500000000000005</v>
      </c>
      <c r="F248" s="1" t="s">
        <v>115</v>
      </c>
    </row>
    <row r="249" spans="1:6" x14ac:dyDescent="0.2">
      <c r="A249" s="1" t="s">
        <v>158</v>
      </c>
      <c r="B249" s="1" t="s">
        <v>10</v>
      </c>
      <c r="C249">
        <v>172</v>
      </c>
      <c r="D249">
        <v>184</v>
      </c>
      <c r="E249">
        <v>0.93500000000000005</v>
      </c>
      <c r="F249" s="1" t="s">
        <v>115</v>
      </c>
    </row>
    <row r="250" spans="1:6" x14ac:dyDescent="0.2">
      <c r="A250" s="1" t="s">
        <v>135</v>
      </c>
      <c r="B250" s="1" t="s">
        <v>10</v>
      </c>
      <c r="C250">
        <v>173</v>
      </c>
      <c r="D250">
        <v>184</v>
      </c>
      <c r="E250">
        <v>0.94</v>
      </c>
      <c r="F250" s="1" t="s">
        <v>115</v>
      </c>
    </row>
    <row r="251" spans="1:6" x14ac:dyDescent="0.2">
      <c r="A251" s="1" t="s">
        <v>159</v>
      </c>
      <c r="B251" s="1" t="s">
        <v>10</v>
      </c>
      <c r="C251">
        <v>173</v>
      </c>
      <c r="D251">
        <v>184</v>
      </c>
      <c r="E251">
        <v>0.94</v>
      </c>
      <c r="F251" s="1" t="s">
        <v>115</v>
      </c>
    </row>
    <row r="252" spans="1:6" x14ac:dyDescent="0.2">
      <c r="A252" s="1" t="s">
        <v>147</v>
      </c>
      <c r="B252" s="1" t="s">
        <v>10</v>
      </c>
      <c r="C252">
        <v>173</v>
      </c>
      <c r="D252">
        <v>184</v>
      </c>
      <c r="E252">
        <v>0.94</v>
      </c>
      <c r="F252" s="1" t="s">
        <v>115</v>
      </c>
    </row>
    <row r="253" spans="1:6" x14ac:dyDescent="0.2">
      <c r="A253" s="1" t="s">
        <v>146</v>
      </c>
      <c r="B253" s="1" t="s">
        <v>12</v>
      </c>
      <c r="C253">
        <v>173</v>
      </c>
      <c r="D253">
        <v>184</v>
      </c>
      <c r="E253">
        <v>0.94</v>
      </c>
      <c r="F253" s="1" t="s">
        <v>115</v>
      </c>
    </row>
    <row r="254" spans="1:6" x14ac:dyDescent="0.2">
      <c r="A254" s="1" t="s">
        <v>101</v>
      </c>
      <c r="B254" s="1" t="s">
        <v>12</v>
      </c>
      <c r="C254">
        <v>173</v>
      </c>
      <c r="D254">
        <v>184</v>
      </c>
      <c r="E254">
        <v>0.94</v>
      </c>
      <c r="F254" s="1" t="s">
        <v>115</v>
      </c>
    </row>
    <row r="255" spans="1:6" x14ac:dyDescent="0.2">
      <c r="A255" s="1" t="s">
        <v>6</v>
      </c>
      <c r="B255" s="1" t="s">
        <v>12</v>
      </c>
      <c r="C255">
        <v>174</v>
      </c>
      <c r="D255">
        <v>184</v>
      </c>
      <c r="E255">
        <v>0.94599999999999995</v>
      </c>
      <c r="F255" s="1" t="s">
        <v>115</v>
      </c>
    </row>
    <row r="256" spans="1:6" x14ac:dyDescent="0.2">
      <c r="A256" s="1" t="s">
        <v>157</v>
      </c>
      <c r="B256" s="1" t="s">
        <v>12</v>
      </c>
      <c r="C256">
        <v>174</v>
      </c>
      <c r="D256">
        <v>184</v>
      </c>
      <c r="E256">
        <v>0.94599999999999995</v>
      </c>
      <c r="F256" s="1" t="s">
        <v>115</v>
      </c>
    </row>
    <row r="257" spans="1:6" x14ac:dyDescent="0.2">
      <c r="A257" s="1" t="s">
        <v>101</v>
      </c>
      <c r="B257" s="1" t="s">
        <v>7</v>
      </c>
      <c r="C257">
        <v>174</v>
      </c>
      <c r="D257">
        <v>184</v>
      </c>
      <c r="E257">
        <v>0.94599999999999995</v>
      </c>
      <c r="F257" s="1" t="s">
        <v>115</v>
      </c>
    </row>
    <row r="258" spans="1:6" x14ac:dyDescent="0.2">
      <c r="A258" s="1" t="s">
        <v>160</v>
      </c>
      <c r="B258" s="1" t="s">
        <v>10</v>
      </c>
      <c r="C258">
        <v>175</v>
      </c>
      <c r="D258">
        <v>184</v>
      </c>
      <c r="E258">
        <v>0.95099999999999996</v>
      </c>
      <c r="F258" s="1" t="s">
        <v>115</v>
      </c>
    </row>
    <row r="259" spans="1:6" x14ac:dyDescent="0.2">
      <c r="A259" s="1" t="s">
        <v>6</v>
      </c>
      <c r="B259" s="1" t="s">
        <v>10</v>
      </c>
      <c r="C259">
        <v>175</v>
      </c>
      <c r="D259">
        <v>184</v>
      </c>
      <c r="E259">
        <v>0.95099999999999996</v>
      </c>
      <c r="F259" s="1" t="s">
        <v>115</v>
      </c>
    </row>
    <row r="260" spans="1:6" x14ac:dyDescent="0.2">
      <c r="A260" s="1" t="s">
        <v>91</v>
      </c>
      <c r="B260" s="1" t="s">
        <v>7</v>
      </c>
      <c r="C260">
        <v>175</v>
      </c>
      <c r="D260">
        <v>184</v>
      </c>
      <c r="E260">
        <v>0.95099999999999996</v>
      </c>
      <c r="F260" s="1" t="s">
        <v>115</v>
      </c>
    </row>
    <row r="261" spans="1:6" x14ac:dyDescent="0.2">
      <c r="A261" s="1" t="s">
        <v>73</v>
      </c>
      <c r="B261" s="1" t="s">
        <v>10</v>
      </c>
      <c r="C261">
        <v>175</v>
      </c>
      <c r="D261">
        <v>184</v>
      </c>
      <c r="E261">
        <v>0.95099999999999996</v>
      </c>
      <c r="F261" s="1" t="s">
        <v>115</v>
      </c>
    </row>
    <row r="262" spans="1:6" x14ac:dyDescent="0.2">
      <c r="A262" s="1" t="s">
        <v>161</v>
      </c>
      <c r="B262" s="1" t="s">
        <v>12</v>
      </c>
      <c r="C262">
        <v>175</v>
      </c>
      <c r="D262">
        <v>184</v>
      </c>
      <c r="E262">
        <v>0.95099999999999996</v>
      </c>
      <c r="F262" s="1" t="s">
        <v>115</v>
      </c>
    </row>
    <row r="263" spans="1:6" x14ac:dyDescent="0.2">
      <c r="A263" s="1" t="s">
        <v>52</v>
      </c>
      <c r="B263" s="1" t="s">
        <v>10</v>
      </c>
      <c r="C263">
        <v>175</v>
      </c>
      <c r="D263">
        <v>184</v>
      </c>
      <c r="E263">
        <v>0.95099999999999996</v>
      </c>
      <c r="F263" s="1" t="s">
        <v>115</v>
      </c>
    </row>
    <row r="264" spans="1:6" x14ac:dyDescent="0.2">
      <c r="A264" s="1" t="s">
        <v>132</v>
      </c>
      <c r="B264" s="1" t="s">
        <v>7</v>
      </c>
      <c r="C264">
        <v>175</v>
      </c>
      <c r="D264">
        <v>184</v>
      </c>
      <c r="E264">
        <v>0.95099999999999996</v>
      </c>
      <c r="F264" s="1" t="s">
        <v>115</v>
      </c>
    </row>
    <row r="265" spans="1:6" x14ac:dyDescent="0.2">
      <c r="A265" s="1" t="s">
        <v>78</v>
      </c>
      <c r="B265" s="1" t="s">
        <v>10</v>
      </c>
      <c r="C265">
        <v>175</v>
      </c>
      <c r="D265">
        <v>184</v>
      </c>
      <c r="E265">
        <v>0.95099999999999996</v>
      </c>
      <c r="F265" s="1" t="s">
        <v>115</v>
      </c>
    </row>
    <row r="266" spans="1:6" x14ac:dyDescent="0.2">
      <c r="A266" s="1" t="s">
        <v>109</v>
      </c>
      <c r="B266" s="1" t="s">
        <v>7</v>
      </c>
      <c r="C266">
        <v>176</v>
      </c>
      <c r="D266">
        <v>184</v>
      </c>
      <c r="E266">
        <v>0.95699999999999996</v>
      </c>
      <c r="F266" s="1" t="s">
        <v>115</v>
      </c>
    </row>
    <row r="267" spans="1:6" x14ac:dyDescent="0.2">
      <c r="A267" s="1" t="s">
        <v>113</v>
      </c>
      <c r="B267" s="1" t="s">
        <v>12</v>
      </c>
      <c r="C267">
        <v>176</v>
      </c>
      <c r="D267">
        <v>184</v>
      </c>
      <c r="E267">
        <v>0.95699999999999996</v>
      </c>
      <c r="F267" s="1" t="s">
        <v>115</v>
      </c>
    </row>
    <row r="268" spans="1:6" x14ac:dyDescent="0.2">
      <c r="A268" s="1" t="s">
        <v>113</v>
      </c>
      <c r="B268" s="1" t="s">
        <v>10</v>
      </c>
      <c r="C268">
        <v>176</v>
      </c>
      <c r="D268">
        <v>184</v>
      </c>
      <c r="E268">
        <v>0.95699999999999996</v>
      </c>
      <c r="F268" s="1" t="s">
        <v>115</v>
      </c>
    </row>
    <row r="269" spans="1:6" x14ac:dyDescent="0.2">
      <c r="A269" s="1" t="s">
        <v>162</v>
      </c>
      <c r="B269" s="1" t="s">
        <v>12</v>
      </c>
      <c r="C269">
        <v>176</v>
      </c>
      <c r="D269">
        <v>184</v>
      </c>
      <c r="E269">
        <v>0.95699999999999996</v>
      </c>
      <c r="F269" s="1" t="s">
        <v>115</v>
      </c>
    </row>
    <row r="270" spans="1:6" x14ac:dyDescent="0.2">
      <c r="A270" s="1" t="s">
        <v>144</v>
      </c>
      <c r="B270" s="1" t="s">
        <v>10</v>
      </c>
      <c r="C270">
        <v>176</v>
      </c>
      <c r="D270">
        <v>184</v>
      </c>
      <c r="E270">
        <v>0.95699999999999996</v>
      </c>
      <c r="F270" s="1" t="s">
        <v>115</v>
      </c>
    </row>
    <row r="271" spans="1:6" x14ac:dyDescent="0.2">
      <c r="A271" s="1" t="s">
        <v>116</v>
      </c>
      <c r="B271" s="1" t="s">
        <v>7</v>
      </c>
      <c r="C271">
        <v>176</v>
      </c>
      <c r="D271">
        <v>184</v>
      </c>
      <c r="E271">
        <v>0.95699999999999996</v>
      </c>
      <c r="F271" s="1" t="s">
        <v>115</v>
      </c>
    </row>
    <row r="272" spans="1:6" x14ac:dyDescent="0.2">
      <c r="A272" s="1" t="s">
        <v>95</v>
      </c>
      <c r="B272" s="1" t="s">
        <v>10</v>
      </c>
      <c r="C272">
        <v>176</v>
      </c>
      <c r="D272">
        <v>184</v>
      </c>
      <c r="E272">
        <v>0.95699999999999996</v>
      </c>
      <c r="F272" s="1" t="s">
        <v>115</v>
      </c>
    </row>
    <row r="273" spans="1:6" x14ac:dyDescent="0.2">
      <c r="A273" s="1" t="s">
        <v>43</v>
      </c>
      <c r="B273" s="1" t="s">
        <v>12</v>
      </c>
      <c r="C273">
        <v>176</v>
      </c>
      <c r="D273">
        <v>184</v>
      </c>
      <c r="E273">
        <v>0.95699999999999996</v>
      </c>
      <c r="F273" s="1" t="s">
        <v>115</v>
      </c>
    </row>
    <row r="274" spans="1:6" x14ac:dyDescent="0.2">
      <c r="A274" s="1" t="s">
        <v>93</v>
      </c>
      <c r="B274" s="1" t="s">
        <v>10</v>
      </c>
      <c r="C274">
        <v>176</v>
      </c>
      <c r="D274">
        <v>184</v>
      </c>
      <c r="E274">
        <v>0.95699999999999996</v>
      </c>
      <c r="F274" s="1" t="s">
        <v>115</v>
      </c>
    </row>
    <row r="275" spans="1:6" x14ac:dyDescent="0.2">
      <c r="A275" s="1" t="s">
        <v>80</v>
      </c>
      <c r="B275" s="1" t="s">
        <v>10</v>
      </c>
      <c r="C275">
        <v>176</v>
      </c>
      <c r="D275">
        <v>184</v>
      </c>
      <c r="E275">
        <v>0.95699999999999996</v>
      </c>
      <c r="F275" s="1" t="s">
        <v>115</v>
      </c>
    </row>
    <row r="276" spans="1:6" x14ac:dyDescent="0.2">
      <c r="A276" s="1" t="s">
        <v>163</v>
      </c>
      <c r="B276" s="1" t="s">
        <v>12</v>
      </c>
      <c r="C276">
        <v>177</v>
      </c>
      <c r="D276">
        <v>184</v>
      </c>
      <c r="E276">
        <v>0.96199999999999997</v>
      </c>
      <c r="F276" s="1" t="s">
        <v>115</v>
      </c>
    </row>
    <row r="277" spans="1:6" x14ac:dyDescent="0.2">
      <c r="A277" s="1" t="s">
        <v>164</v>
      </c>
      <c r="B277" s="1" t="s">
        <v>7</v>
      </c>
      <c r="C277">
        <v>177</v>
      </c>
      <c r="D277">
        <v>184</v>
      </c>
      <c r="E277">
        <v>0.96199999999999997</v>
      </c>
      <c r="F277" s="1" t="s">
        <v>115</v>
      </c>
    </row>
    <row r="278" spans="1:6" x14ac:dyDescent="0.2">
      <c r="A278" s="1" t="s">
        <v>165</v>
      </c>
      <c r="B278" s="1" t="s">
        <v>12</v>
      </c>
      <c r="C278">
        <v>177</v>
      </c>
      <c r="D278">
        <v>184</v>
      </c>
      <c r="E278">
        <v>0.96199999999999997</v>
      </c>
      <c r="F278" s="1" t="s">
        <v>115</v>
      </c>
    </row>
    <row r="279" spans="1:6" x14ac:dyDescent="0.2">
      <c r="A279" s="1" t="s">
        <v>160</v>
      </c>
      <c r="B279" s="1" t="s">
        <v>12</v>
      </c>
      <c r="C279">
        <v>178</v>
      </c>
      <c r="D279">
        <v>184</v>
      </c>
      <c r="E279">
        <v>0.96699999999999997</v>
      </c>
      <c r="F279" s="1" t="s">
        <v>115</v>
      </c>
    </row>
    <row r="280" spans="1:6" x14ac:dyDescent="0.2">
      <c r="A280" s="1" t="s">
        <v>150</v>
      </c>
      <c r="B280" s="1" t="s">
        <v>10</v>
      </c>
      <c r="C280">
        <v>178</v>
      </c>
      <c r="D280">
        <v>184</v>
      </c>
      <c r="E280">
        <v>0.96699999999999997</v>
      </c>
      <c r="F280" s="1" t="s">
        <v>115</v>
      </c>
    </row>
    <row r="281" spans="1:6" x14ac:dyDescent="0.2">
      <c r="A281" s="1" t="s">
        <v>88</v>
      </c>
      <c r="B281" s="1" t="s">
        <v>10</v>
      </c>
      <c r="C281">
        <v>178</v>
      </c>
      <c r="D281">
        <v>184</v>
      </c>
      <c r="E281">
        <v>0.96699999999999997</v>
      </c>
      <c r="F281" s="1" t="s">
        <v>115</v>
      </c>
    </row>
    <row r="282" spans="1:6" x14ac:dyDescent="0.2">
      <c r="A282" s="1" t="s">
        <v>166</v>
      </c>
      <c r="B282" s="1" t="s">
        <v>7</v>
      </c>
      <c r="C282">
        <v>179</v>
      </c>
      <c r="D282">
        <v>184</v>
      </c>
      <c r="E282">
        <v>0.97299999999999998</v>
      </c>
      <c r="F282" s="1" t="s">
        <v>115</v>
      </c>
    </row>
    <row r="283" spans="1:6" x14ac:dyDescent="0.2">
      <c r="A283" s="1" t="s">
        <v>71</v>
      </c>
      <c r="B283" s="1" t="s">
        <v>10</v>
      </c>
      <c r="C283">
        <v>179</v>
      </c>
      <c r="D283">
        <v>184</v>
      </c>
      <c r="E283">
        <v>0.97299999999999998</v>
      </c>
      <c r="F283" s="1" t="s">
        <v>115</v>
      </c>
    </row>
    <row r="284" spans="1:6" x14ac:dyDescent="0.2">
      <c r="A284" s="1" t="s">
        <v>162</v>
      </c>
      <c r="B284" s="1" t="s">
        <v>7</v>
      </c>
      <c r="C284">
        <v>179</v>
      </c>
      <c r="D284">
        <v>184</v>
      </c>
      <c r="E284">
        <v>0.97299999999999998</v>
      </c>
      <c r="F284" s="1" t="s">
        <v>115</v>
      </c>
    </row>
    <row r="285" spans="1:6" x14ac:dyDescent="0.2">
      <c r="A285" s="1" t="s">
        <v>167</v>
      </c>
      <c r="B285" s="1" t="s">
        <v>7</v>
      </c>
      <c r="C285">
        <v>179</v>
      </c>
      <c r="D285">
        <v>184</v>
      </c>
      <c r="E285">
        <v>0.97299999999999998</v>
      </c>
      <c r="F285" s="1" t="s">
        <v>115</v>
      </c>
    </row>
    <row r="286" spans="1:6" x14ac:dyDescent="0.2">
      <c r="A286" s="1" t="s">
        <v>88</v>
      </c>
      <c r="B286" s="1" t="s">
        <v>12</v>
      </c>
      <c r="C286">
        <v>179</v>
      </c>
      <c r="D286">
        <v>184</v>
      </c>
      <c r="E286">
        <v>0.97299999999999998</v>
      </c>
      <c r="F286" s="1" t="s">
        <v>115</v>
      </c>
    </row>
    <row r="287" spans="1:6" x14ac:dyDescent="0.2">
      <c r="A287" s="1" t="s">
        <v>63</v>
      </c>
      <c r="B287" s="1" t="s">
        <v>7</v>
      </c>
      <c r="C287">
        <v>179</v>
      </c>
      <c r="D287">
        <v>184</v>
      </c>
      <c r="E287">
        <v>0.97299999999999998</v>
      </c>
      <c r="F287" s="1" t="s">
        <v>115</v>
      </c>
    </row>
    <row r="288" spans="1:6" x14ac:dyDescent="0.2">
      <c r="A288" s="1" t="s">
        <v>142</v>
      </c>
      <c r="B288" s="1" t="s">
        <v>12</v>
      </c>
      <c r="C288">
        <v>180</v>
      </c>
      <c r="D288">
        <v>184</v>
      </c>
      <c r="E288">
        <v>0.97799999999999998</v>
      </c>
      <c r="F288" s="1" t="s">
        <v>115</v>
      </c>
    </row>
    <row r="289" spans="1:6" x14ac:dyDescent="0.2">
      <c r="A289" s="1" t="s">
        <v>114</v>
      </c>
      <c r="B289" s="1" t="s">
        <v>10</v>
      </c>
      <c r="C289">
        <v>180</v>
      </c>
      <c r="D289">
        <v>184</v>
      </c>
      <c r="E289">
        <v>0.97799999999999998</v>
      </c>
      <c r="F289" s="1" t="s">
        <v>115</v>
      </c>
    </row>
    <row r="290" spans="1:6" x14ac:dyDescent="0.2">
      <c r="A290" s="1" t="s">
        <v>41</v>
      </c>
      <c r="B290" s="1" t="s">
        <v>12</v>
      </c>
      <c r="C290">
        <v>180</v>
      </c>
      <c r="D290">
        <v>184</v>
      </c>
      <c r="E290">
        <v>0.97799999999999998</v>
      </c>
      <c r="F290" s="1" t="s">
        <v>115</v>
      </c>
    </row>
    <row r="291" spans="1:6" x14ac:dyDescent="0.2">
      <c r="A291" s="1" t="s">
        <v>17</v>
      </c>
      <c r="B291" s="1" t="s">
        <v>12</v>
      </c>
      <c r="C291">
        <v>180</v>
      </c>
      <c r="D291">
        <v>184</v>
      </c>
      <c r="E291">
        <v>0.97799999999999998</v>
      </c>
      <c r="F291" s="1" t="s">
        <v>115</v>
      </c>
    </row>
    <row r="292" spans="1:6" x14ac:dyDescent="0.2">
      <c r="A292" s="1" t="s">
        <v>168</v>
      </c>
      <c r="B292" s="1" t="s">
        <v>10</v>
      </c>
      <c r="C292">
        <v>180</v>
      </c>
      <c r="D292">
        <v>184</v>
      </c>
      <c r="E292">
        <v>0.97799999999999998</v>
      </c>
      <c r="F292" s="1" t="s">
        <v>115</v>
      </c>
    </row>
    <row r="293" spans="1:6" x14ac:dyDescent="0.2">
      <c r="A293" s="1" t="s">
        <v>43</v>
      </c>
      <c r="B293" s="1" t="s">
        <v>10</v>
      </c>
      <c r="C293">
        <v>180</v>
      </c>
      <c r="D293">
        <v>184</v>
      </c>
      <c r="E293">
        <v>0.97799999999999998</v>
      </c>
      <c r="F293" s="1" t="s">
        <v>115</v>
      </c>
    </row>
    <row r="294" spans="1:6" x14ac:dyDescent="0.2">
      <c r="A294" s="1" t="s">
        <v>169</v>
      </c>
      <c r="B294" s="1" t="s">
        <v>12</v>
      </c>
      <c r="C294">
        <v>180</v>
      </c>
      <c r="D294">
        <v>184</v>
      </c>
      <c r="E294">
        <v>0.97799999999999998</v>
      </c>
      <c r="F294" s="1" t="s">
        <v>115</v>
      </c>
    </row>
    <row r="295" spans="1:6" x14ac:dyDescent="0.2">
      <c r="A295" s="1" t="s">
        <v>169</v>
      </c>
      <c r="B295" s="1" t="s">
        <v>7</v>
      </c>
      <c r="C295">
        <v>180</v>
      </c>
      <c r="D295">
        <v>184</v>
      </c>
      <c r="E295">
        <v>0.97799999999999998</v>
      </c>
      <c r="F295" s="1" t="s">
        <v>115</v>
      </c>
    </row>
    <row r="296" spans="1:6" x14ac:dyDescent="0.2">
      <c r="A296" s="1" t="s">
        <v>170</v>
      </c>
      <c r="B296" s="1" t="s">
        <v>10</v>
      </c>
      <c r="C296">
        <v>180</v>
      </c>
      <c r="D296">
        <v>184</v>
      </c>
      <c r="E296">
        <v>0.97799999999999998</v>
      </c>
      <c r="F296" s="1" t="s">
        <v>115</v>
      </c>
    </row>
    <row r="297" spans="1:6" x14ac:dyDescent="0.2">
      <c r="A297" s="1" t="s">
        <v>85</v>
      </c>
      <c r="B297" s="1" t="s">
        <v>7</v>
      </c>
      <c r="C297">
        <v>180</v>
      </c>
      <c r="D297">
        <v>184</v>
      </c>
      <c r="E297">
        <v>0.97799999999999998</v>
      </c>
      <c r="F297" s="1" t="s">
        <v>115</v>
      </c>
    </row>
    <row r="298" spans="1:6" x14ac:dyDescent="0.2">
      <c r="A298" s="1" t="s">
        <v>67</v>
      </c>
      <c r="B298" s="1" t="s">
        <v>10</v>
      </c>
      <c r="C298">
        <v>181</v>
      </c>
      <c r="D298">
        <v>184</v>
      </c>
      <c r="E298">
        <v>0.98399999999999999</v>
      </c>
      <c r="F298" s="1" t="s">
        <v>115</v>
      </c>
    </row>
    <row r="299" spans="1:6" x14ac:dyDescent="0.2">
      <c r="A299" s="1" t="s">
        <v>126</v>
      </c>
      <c r="B299" s="1" t="s">
        <v>10</v>
      </c>
      <c r="C299">
        <v>181</v>
      </c>
      <c r="D299">
        <v>184</v>
      </c>
      <c r="E299">
        <v>0.98399999999999999</v>
      </c>
      <c r="F299" s="1" t="s">
        <v>115</v>
      </c>
    </row>
    <row r="300" spans="1:6" x14ac:dyDescent="0.2">
      <c r="A300" s="1" t="s">
        <v>165</v>
      </c>
      <c r="B300" s="1" t="s">
        <v>7</v>
      </c>
      <c r="C300">
        <v>181</v>
      </c>
      <c r="D300">
        <v>184</v>
      </c>
      <c r="E300">
        <v>0.98399999999999999</v>
      </c>
      <c r="F300" s="1" t="s">
        <v>115</v>
      </c>
    </row>
    <row r="301" spans="1:6" x14ac:dyDescent="0.2">
      <c r="A301" s="1" t="s">
        <v>64</v>
      </c>
      <c r="B301" s="1" t="s">
        <v>12</v>
      </c>
      <c r="C301">
        <v>182</v>
      </c>
      <c r="D301">
        <v>184</v>
      </c>
      <c r="E301">
        <v>0.98899999999999999</v>
      </c>
      <c r="F301" s="1" t="s">
        <v>115</v>
      </c>
    </row>
    <row r="302" spans="1:6" x14ac:dyDescent="0.2">
      <c r="A302" s="1" t="s">
        <v>59</v>
      </c>
      <c r="B302" s="1" t="s">
        <v>7</v>
      </c>
      <c r="C302">
        <v>182</v>
      </c>
      <c r="D302">
        <v>184</v>
      </c>
      <c r="E302">
        <v>0.98899999999999999</v>
      </c>
      <c r="F302" s="1" t="s">
        <v>115</v>
      </c>
    </row>
    <row r="303" spans="1:6" x14ac:dyDescent="0.2">
      <c r="A303" s="1" t="s">
        <v>124</v>
      </c>
      <c r="B303" s="1" t="s">
        <v>7</v>
      </c>
      <c r="C303">
        <v>182</v>
      </c>
      <c r="D303">
        <v>184</v>
      </c>
      <c r="E303">
        <v>0.98899999999999999</v>
      </c>
      <c r="F303" s="1" t="s">
        <v>115</v>
      </c>
    </row>
    <row r="304" spans="1:6" x14ac:dyDescent="0.2">
      <c r="A304" s="1" t="s">
        <v>171</v>
      </c>
      <c r="B304" s="1" t="s">
        <v>7</v>
      </c>
      <c r="C304">
        <v>183</v>
      </c>
      <c r="D304">
        <v>184</v>
      </c>
      <c r="E304">
        <v>0.995</v>
      </c>
      <c r="F304" s="1" t="s">
        <v>115</v>
      </c>
    </row>
    <row r="305" spans="1:6" x14ac:dyDescent="0.2">
      <c r="A305" s="1" t="s">
        <v>126</v>
      </c>
      <c r="B305" s="1" t="s">
        <v>12</v>
      </c>
      <c r="C305">
        <v>183</v>
      </c>
      <c r="D305">
        <v>184</v>
      </c>
      <c r="E305">
        <v>0.995</v>
      </c>
      <c r="F305" s="1" t="s">
        <v>115</v>
      </c>
    </row>
    <row r="306" spans="1:6" x14ac:dyDescent="0.2">
      <c r="A306" s="1" t="s">
        <v>139</v>
      </c>
      <c r="B306" s="1" t="s">
        <v>10</v>
      </c>
      <c r="C306">
        <v>186</v>
      </c>
      <c r="D306">
        <v>184</v>
      </c>
      <c r="E306">
        <v>1.0109999999999999</v>
      </c>
      <c r="F306" s="1" t="s">
        <v>115</v>
      </c>
    </row>
    <row r="307" spans="1:6" x14ac:dyDescent="0.2">
      <c r="A307" s="1" t="s">
        <v>151</v>
      </c>
      <c r="B307" s="1" t="s">
        <v>10</v>
      </c>
      <c r="C307">
        <v>187</v>
      </c>
      <c r="D307">
        <v>184</v>
      </c>
      <c r="E307">
        <v>1.016</v>
      </c>
      <c r="F307" s="1" t="s">
        <v>115</v>
      </c>
    </row>
    <row r="308" spans="1:6" x14ac:dyDescent="0.2">
      <c r="A308" s="1" t="s">
        <v>62</v>
      </c>
      <c r="B308" s="1" t="s">
        <v>12</v>
      </c>
      <c r="C308">
        <v>188</v>
      </c>
      <c r="D308">
        <v>184</v>
      </c>
      <c r="E308">
        <v>1.022</v>
      </c>
      <c r="F308" s="1" t="s">
        <v>115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BEE89-1142-9E4D-8F08-00E01C5AC44E}">
  <dimension ref="A1:N37"/>
  <sheetViews>
    <sheetView workbookViewId="0">
      <selection activeCell="D23" sqref="D23"/>
    </sheetView>
  </sheetViews>
  <sheetFormatPr baseColWidth="10" defaultRowHeight="16" x14ac:dyDescent="0.2"/>
  <cols>
    <col min="1" max="1" width="12.6640625" bestFit="1" customWidth="1"/>
    <col min="2" max="2" width="15.83203125" bestFit="1" customWidth="1"/>
    <col min="3" max="3" width="18.1640625" bestFit="1" customWidth="1"/>
    <col min="4" max="4" width="12.6640625" bestFit="1" customWidth="1"/>
    <col min="5" max="5" width="18.1640625" bestFit="1" customWidth="1"/>
    <col min="6" max="6" width="14.5" style="3" hidden="1" customWidth="1"/>
    <col min="7" max="8" width="14.5" style="3" customWidth="1"/>
    <col min="9" max="9" width="6" style="1" hidden="1" customWidth="1"/>
    <col min="10" max="10" width="14.6640625" style="1" customWidth="1"/>
    <col min="11" max="11" width="10.33203125" bestFit="1" customWidth="1"/>
    <col min="13" max="14" width="10.83203125" style="4" customWidth="1"/>
  </cols>
  <sheetData>
    <row r="1" spans="1:11" x14ac:dyDescent="0.2">
      <c r="A1" t="s">
        <v>172</v>
      </c>
      <c r="B1" t="s">
        <v>173</v>
      </c>
      <c r="C1" t="s">
        <v>174</v>
      </c>
      <c r="D1" t="s">
        <v>1</v>
      </c>
      <c r="E1" t="s">
        <v>206</v>
      </c>
      <c r="F1" s="3" t="s">
        <v>207</v>
      </c>
      <c r="G1" s="3" t="s">
        <v>216</v>
      </c>
      <c r="H1" s="3" t="s">
        <v>214</v>
      </c>
      <c r="I1" s="1" t="s">
        <v>208</v>
      </c>
      <c r="J1" s="1" t="s">
        <v>215</v>
      </c>
      <c r="K1" t="s">
        <v>209</v>
      </c>
    </row>
    <row r="2" spans="1:11" x14ac:dyDescent="0.2">
      <c r="A2" s="1" t="s">
        <v>178</v>
      </c>
      <c r="B2" s="1" t="s">
        <v>179</v>
      </c>
      <c r="C2" s="1" t="s">
        <v>180</v>
      </c>
      <c r="D2" s="1" t="s">
        <v>12</v>
      </c>
      <c r="E2">
        <v>13</v>
      </c>
      <c r="F2" s="3">
        <v>53.8</v>
      </c>
      <c r="G2" s="3" t="s">
        <v>220</v>
      </c>
      <c r="H2" s="1">
        <f>provider_panel[[#This Row],[pct_adherent]] / 100</f>
        <v>0.53799999999999992</v>
      </c>
      <c r="I2" s="1">
        <v>23.1</v>
      </c>
      <c r="J2" s="1">
        <f>provider_panel[[#This Row],[pct_high_risk]] / 100</f>
        <v>0.23100000000000001</v>
      </c>
      <c r="K2">
        <v>0.78400000000000003</v>
      </c>
    </row>
    <row r="3" spans="1:11" x14ac:dyDescent="0.2">
      <c r="A3" s="1" t="s">
        <v>178</v>
      </c>
      <c r="B3" s="1" t="s">
        <v>179</v>
      </c>
      <c r="C3" s="1" t="s">
        <v>180</v>
      </c>
      <c r="D3" s="1" t="s">
        <v>7</v>
      </c>
      <c r="E3">
        <v>13</v>
      </c>
      <c r="F3" s="3">
        <v>53.8</v>
      </c>
      <c r="H3" s="1">
        <f>provider_panel[[#This Row],[pct_adherent]] / 100</f>
        <v>0.53799999999999992</v>
      </c>
      <c r="I3" s="1">
        <v>23.1</v>
      </c>
      <c r="J3" s="1">
        <f>provider_panel[[#This Row],[pct_high_risk]] / 100</f>
        <v>0.23100000000000001</v>
      </c>
      <c r="K3">
        <v>0.76100000000000001</v>
      </c>
    </row>
    <row r="4" spans="1:11" x14ac:dyDescent="0.2">
      <c r="A4" s="1" t="s">
        <v>178</v>
      </c>
      <c r="B4" s="1" t="s">
        <v>179</v>
      </c>
      <c r="C4" s="1" t="s">
        <v>180</v>
      </c>
      <c r="D4" s="1" t="s">
        <v>10</v>
      </c>
      <c r="E4">
        <v>9</v>
      </c>
      <c r="F4" s="3">
        <v>55.6</v>
      </c>
      <c r="H4" s="1">
        <f>provider_panel[[#This Row],[pct_adherent]] / 100</f>
        <v>0.55600000000000005</v>
      </c>
      <c r="I4" s="1">
        <v>0</v>
      </c>
      <c r="J4" s="1">
        <f>provider_panel[[#This Row],[pct_high_risk]] / 100</f>
        <v>0</v>
      </c>
      <c r="K4">
        <v>0.84099999999999997</v>
      </c>
    </row>
    <row r="5" spans="1:11" x14ac:dyDescent="0.2">
      <c r="A5" s="1" t="s">
        <v>194</v>
      </c>
      <c r="B5" s="1" t="s">
        <v>195</v>
      </c>
      <c r="C5" s="1" t="s">
        <v>180</v>
      </c>
      <c r="D5" s="1" t="s">
        <v>12</v>
      </c>
      <c r="E5">
        <v>9</v>
      </c>
      <c r="F5" s="3">
        <v>33.299999999999997</v>
      </c>
      <c r="H5" s="1">
        <f>provider_panel[[#This Row],[pct_adherent]] / 100</f>
        <v>0.33299999999999996</v>
      </c>
      <c r="I5" s="1">
        <v>22.2</v>
      </c>
      <c r="J5" s="1">
        <f>provider_panel[[#This Row],[pct_high_risk]] / 100</f>
        <v>0.222</v>
      </c>
      <c r="K5">
        <v>0.73399999999999999</v>
      </c>
    </row>
    <row r="6" spans="1:11" x14ac:dyDescent="0.2">
      <c r="A6" s="1" t="s">
        <v>194</v>
      </c>
      <c r="B6" s="1" t="s">
        <v>195</v>
      </c>
      <c r="C6" s="1" t="s">
        <v>180</v>
      </c>
      <c r="D6" s="1" t="s">
        <v>7</v>
      </c>
      <c r="E6">
        <v>8</v>
      </c>
      <c r="F6" s="3">
        <v>37.5</v>
      </c>
      <c r="H6" s="1">
        <f>provider_panel[[#This Row],[pct_adherent]] / 100</f>
        <v>0.375</v>
      </c>
      <c r="I6" s="1">
        <v>12.5</v>
      </c>
      <c r="J6" s="1">
        <f>provider_panel[[#This Row],[pct_high_risk]] / 100</f>
        <v>0.125</v>
      </c>
      <c r="K6">
        <v>0.75800000000000001</v>
      </c>
    </row>
    <row r="7" spans="1:11" x14ac:dyDescent="0.2">
      <c r="A7" s="1" t="s">
        <v>194</v>
      </c>
      <c r="B7" s="1" t="s">
        <v>195</v>
      </c>
      <c r="C7" s="1" t="s">
        <v>180</v>
      </c>
      <c r="D7" s="1" t="s">
        <v>10</v>
      </c>
      <c r="E7">
        <v>7</v>
      </c>
      <c r="F7" s="3">
        <v>57.1</v>
      </c>
      <c r="H7" s="1">
        <f>provider_panel[[#This Row],[pct_adherent]] / 100</f>
        <v>0.57100000000000006</v>
      </c>
      <c r="I7" s="1">
        <v>14.3</v>
      </c>
      <c r="J7" s="1">
        <f>provider_panel[[#This Row],[pct_high_risk]] / 100</f>
        <v>0.14300000000000002</v>
      </c>
      <c r="K7">
        <v>0.77800000000000002</v>
      </c>
    </row>
    <row r="8" spans="1:11" x14ac:dyDescent="0.2">
      <c r="A8" s="1" t="s">
        <v>203</v>
      </c>
      <c r="B8" s="1" t="s">
        <v>204</v>
      </c>
      <c r="C8" s="1" t="s">
        <v>205</v>
      </c>
      <c r="D8" s="1" t="s">
        <v>12</v>
      </c>
      <c r="E8">
        <v>6</v>
      </c>
      <c r="F8" s="3">
        <v>83.3</v>
      </c>
      <c r="H8" s="1">
        <f>provider_panel[[#This Row],[pct_adherent]] / 100</f>
        <v>0.83299999999999996</v>
      </c>
      <c r="I8" s="1">
        <v>0</v>
      </c>
      <c r="J8" s="1">
        <f>provider_panel[[#This Row],[pct_high_risk]] / 100</f>
        <v>0</v>
      </c>
      <c r="K8">
        <v>0.91600000000000004</v>
      </c>
    </row>
    <row r="9" spans="1:11" x14ac:dyDescent="0.2">
      <c r="A9" s="1" t="s">
        <v>203</v>
      </c>
      <c r="B9" s="1" t="s">
        <v>204</v>
      </c>
      <c r="C9" s="1" t="s">
        <v>205</v>
      </c>
      <c r="D9" s="1" t="s">
        <v>7</v>
      </c>
      <c r="E9">
        <v>5</v>
      </c>
      <c r="F9" s="3">
        <v>80</v>
      </c>
      <c r="H9" s="1">
        <f>provider_panel[[#This Row],[pct_adherent]] / 100</f>
        <v>0.8</v>
      </c>
      <c r="I9" s="1">
        <v>20</v>
      </c>
      <c r="J9" s="1">
        <f>provider_panel[[#This Row],[pct_high_risk]] / 100</f>
        <v>0.2</v>
      </c>
      <c r="K9">
        <v>0.81599999999999995</v>
      </c>
    </row>
    <row r="10" spans="1:11" x14ac:dyDescent="0.2">
      <c r="A10" s="1" t="s">
        <v>203</v>
      </c>
      <c r="B10" s="1" t="s">
        <v>204</v>
      </c>
      <c r="C10" s="1" t="s">
        <v>205</v>
      </c>
      <c r="D10" s="1" t="s">
        <v>10</v>
      </c>
      <c r="E10">
        <v>6</v>
      </c>
      <c r="F10" s="3">
        <v>83.3</v>
      </c>
      <c r="H10" s="1">
        <f>provider_panel[[#This Row],[pct_adherent]] / 100</f>
        <v>0.83299999999999996</v>
      </c>
      <c r="I10" s="1">
        <v>16.7</v>
      </c>
      <c r="J10" s="1">
        <f>provider_panel[[#This Row],[pct_high_risk]] / 100</f>
        <v>0.16699999999999998</v>
      </c>
      <c r="K10">
        <v>0.874</v>
      </c>
    </row>
    <row r="11" spans="1:11" x14ac:dyDescent="0.2">
      <c r="A11" s="1" t="s">
        <v>199</v>
      </c>
      <c r="B11" s="1" t="s">
        <v>200</v>
      </c>
      <c r="C11" s="1" t="s">
        <v>191</v>
      </c>
      <c r="D11" s="1" t="s">
        <v>12</v>
      </c>
      <c r="E11">
        <v>8</v>
      </c>
      <c r="F11" s="3">
        <v>62.5</v>
      </c>
      <c r="H11" s="1">
        <f>provider_panel[[#This Row],[pct_adherent]] / 100</f>
        <v>0.625</v>
      </c>
      <c r="I11" s="1">
        <v>12.5</v>
      </c>
      <c r="J11" s="1">
        <f>provider_panel[[#This Row],[pct_high_risk]] / 100</f>
        <v>0.125</v>
      </c>
      <c r="K11">
        <v>0.81399999999999995</v>
      </c>
    </row>
    <row r="12" spans="1:11" x14ac:dyDescent="0.2">
      <c r="A12" s="1" t="s">
        <v>199</v>
      </c>
      <c r="B12" s="1" t="s">
        <v>200</v>
      </c>
      <c r="C12" s="1" t="s">
        <v>191</v>
      </c>
      <c r="D12" s="1" t="s">
        <v>7</v>
      </c>
      <c r="E12">
        <v>6</v>
      </c>
      <c r="F12" s="3">
        <v>33.299999999999997</v>
      </c>
      <c r="H12" s="1">
        <f>provider_panel[[#This Row],[pct_adherent]] / 100</f>
        <v>0.33299999999999996</v>
      </c>
      <c r="I12" s="1">
        <v>16.7</v>
      </c>
      <c r="J12" s="1">
        <f>provider_panel[[#This Row],[pct_high_risk]] / 100</f>
        <v>0.16699999999999998</v>
      </c>
      <c r="K12">
        <v>0.71899999999999997</v>
      </c>
    </row>
    <row r="13" spans="1:11" x14ac:dyDescent="0.2">
      <c r="A13" s="1" t="s">
        <v>199</v>
      </c>
      <c r="B13" s="1" t="s">
        <v>200</v>
      </c>
      <c r="C13" s="1" t="s">
        <v>191</v>
      </c>
      <c r="D13" s="1" t="s">
        <v>10</v>
      </c>
      <c r="E13">
        <v>12</v>
      </c>
      <c r="F13" s="3">
        <v>66.7</v>
      </c>
      <c r="H13" s="1">
        <f>provider_panel[[#This Row],[pct_adherent]] / 100</f>
        <v>0.66700000000000004</v>
      </c>
      <c r="I13" s="1">
        <v>8.3000000000000007</v>
      </c>
      <c r="J13" s="1">
        <f>provider_panel[[#This Row],[pct_high_risk]] / 100</f>
        <v>8.3000000000000004E-2</v>
      </c>
      <c r="K13">
        <v>0.82799999999999996</v>
      </c>
    </row>
    <row r="14" spans="1:11" x14ac:dyDescent="0.2">
      <c r="A14" s="1" t="s">
        <v>189</v>
      </c>
      <c r="B14" s="1" t="s">
        <v>190</v>
      </c>
      <c r="C14" s="1" t="s">
        <v>191</v>
      </c>
      <c r="D14" s="1" t="s">
        <v>12</v>
      </c>
      <c r="E14">
        <v>3</v>
      </c>
      <c r="F14" s="3">
        <v>66.7</v>
      </c>
      <c r="H14" s="1">
        <f>provider_panel[[#This Row],[pct_adherent]] / 100</f>
        <v>0.66700000000000004</v>
      </c>
      <c r="I14" s="1">
        <v>0</v>
      </c>
      <c r="J14" s="1">
        <f>provider_panel[[#This Row],[pct_high_risk]] / 100</f>
        <v>0</v>
      </c>
      <c r="K14">
        <v>0.81299999999999994</v>
      </c>
    </row>
    <row r="15" spans="1:11" x14ac:dyDescent="0.2">
      <c r="A15" s="1" t="s">
        <v>189</v>
      </c>
      <c r="B15" s="1" t="s">
        <v>190</v>
      </c>
      <c r="C15" s="1" t="s">
        <v>191</v>
      </c>
      <c r="D15" s="1" t="s">
        <v>7</v>
      </c>
      <c r="E15">
        <v>10</v>
      </c>
      <c r="F15" s="3">
        <v>50</v>
      </c>
      <c r="H15" s="1">
        <f>provider_panel[[#This Row],[pct_adherent]] / 100</f>
        <v>0.5</v>
      </c>
      <c r="I15" s="1">
        <v>20</v>
      </c>
      <c r="J15" s="1">
        <f>provider_panel[[#This Row],[pct_high_risk]] / 100</f>
        <v>0.2</v>
      </c>
      <c r="K15">
        <v>0.77700000000000002</v>
      </c>
    </row>
    <row r="16" spans="1:11" x14ac:dyDescent="0.2">
      <c r="A16" s="1" t="s">
        <v>189</v>
      </c>
      <c r="B16" s="1" t="s">
        <v>190</v>
      </c>
      <c r="C16" s="1" t="s">
        <v>191</v>
      </c>
      <c r="D16" s="1" t="s">
        <v>10</v>
      </c>
      <c r="E16">
        <v>9</v>
      </c>
      <c r="F16" s="3">
        <v>77.8</v>
      </c>
      <c r="H16" s="1">
        <f>provider_panel[[#This Row],[pct_adherent]] / 100</f>
        <v>0.77800000000000002</v>
      </c>
      <c r="I16" s="1">
        <v>11.1</v>
      </c>
      <c r="J16" s="1">
        <f>provider_panel[[#This Row],[pct_high_risk]] / 100</f>
        <v>0.111</v>
      </c>
      <c r="K16">
        <v>0.83799999999999997</v>
      </c>
    </row>
    <row r="17" spans="1:11" x14ac:dyDescent="0.2">
      <c r="A17" s="1" t="s">
        <v>192</v>
      </c>
      <c r="B17" s="1" t="s">
        <v>193</v>
      </c>
      <c r="C17" s="1" t="s">
        <v>191</v>
      </c>
      <c r="D17" s="1" t="s">
        <v>12</v>
      </c>
      <c r="E17">
        <v>5</v>
      </c>
      <c r="F17" s="3">
        <v>60</v>
      </c>
      <c r="H17" s="1">
        <f>provider_panel[[#This Row],[pct_adherent]] / 100</f>
        <v>0.6</v>
      </c>
      <c r="I17" s="1">
        <v>40</v>
      </c>
      <c r="J17" s="1">
        <f>provider_panel[[#This Row],[pct_high_risk]] / 100</f>
        <v>0.4</v>
      </c>
      <c r="K17">
        <v>0.70099999999999996</v>
      </c>
    </row>
    <row r="18" spans="1:11" x14ac:dyDescent="0.2">
      <c r="A18" s="1" t="s">
        <v>192</v>
      </c>
      <c r="B18" s="1" t="s">
        <v>193</v>
      </c>
      <c r="C18" s="1" t="s">
        <v>191</v>
      </c>
      <c r="D18" s="1" t="s">
        <v>7</v>
      </c>
      <c r="E18">
        <v>4</v>
      </c>
      <c r="F18" s="3">
        <v>50</v>
      </c>
      <c r="H18" s="1">
        <f>provider_panel[[#This Row],[pct_adherent]] / 100</f>
        <v>0.5</v>
      </c>
      <c r="I18" s="1">
        <v>0</v>
      </c>
      <c r="J18" s="1">
        <f>provider_panel[[#This Row],[pct_high_risk]] / 100</f>
        <v>0</v>
      </c>
      <c r="K18">
        <v>0.82099999999999995</v>
      </c>
    </row>
    <row r="19" spans="1:11" x14ac:dyDescent="0.2">
      <c r="A19" s="1" t="s">
        <v>192</v>
      </c>
      <c r="B19" s="1" t="s">
        <v>193</v>
      </c>
      <c r="C19" s="1" t="s">
        <v>191</v>
      </c>
      <c r="D19" s="1" t="s">
        <v>10</v>
      </c>
      <c r="E19">
        <v>5</v>
      </c>
      <c r="F19" s="3">
        <v>40</v>
      </c>
      <c r="H19" s="1">
        <f>provider_panel[[#This Row],[pct_adherent]] / 100</f>
        <v>0.4</v>
      </c>
      <c r="I19" s="1">
        <v>40</v>
      </c>
      <c r="J19" s="1">
        <f>provider_panel[[#This Row],[pct_high_risk]] / 100</f>
        <v>0.4</v>
      </c>
      <c r="K19">
        <v>0.73799999999999999</v>
      </c>
    </row>
    <row r="20" spans="1:11" x14ac:dyDescent="0.2">
      <c r="A20" s="1" t="s">
        <v>185</v>
      </c>
      <c r="B20" s="1" t="s">
        <v>186</v>
      </c>
      <c r="C20" s="1" t="s">
        <v>180</v>
      </c>
      <c r="D20" s="1" t="s">
        <v>12</v>
      </c>
      <c r="E20">
        <v>19</v>
      </c>
      <c r="F20" s="3">
        <v>52.6</v>
      </c>
      <c r="H20" s="1">
        <f>provider_panel[[#This Row],[pct_adherent]] / 100</f>
        <v>0.52600000000000002</v>
      </c>
      <c r="I20" s="1">
        <v>26.3</v>
      </c>
      <c r="J20" s="1">
        <f>provider_panel[[#This Row],[pct_high_risk]] / 100</f>
        <v>0.26300000000000001</v>
      </c>
      <c r="K20">
        <v>0.76300000000000001</v>
      </c>
    </row>
    <row r="21" spans="1:11" x14ac:dyDescent="0.2">
      <c r="A21" s="1" t="s">
        <v>185</v>
      </c>
      <c r="B21" s="1" t="s">
        <v>186</v>
      </c>
      <c r="C21" s="1" t="s">
        <v>180</v>
      </c>
      <c r="D21" s="1" t="s">
        <v>7</v>
      </c>
      <c r="E21">
        <v>18</v>
      </c>
      <c r="F21" s="3">
        <v>33.299999999999997</v>
      </c>
      <c r="H21" s="1">
        <f>provider_panel[[#This Row],[pct_adherent]] / 100</f>
        <v>0.33299999999999996</v>
      </c>
      <c r="I21" s="1">
        <v>38.9</v>
      </c>
      <c r="J21" s="1">
        <f>provider_panel[[#This Row],[pct_high_risk]] / 100</f>
        <v>0.38900000000000001</v>
      </c>
      <c r="K21">
        <v>0.67500000000000004</v>
      </c>
    </row>
    <row r="22" spans="1:11" x14ac:dyDescent="0.2">
      <c r="A22" s="1" t="s">
        <v>185</v>
      </c>
      <c r="B22" s="1" t="s">
        <v>186</v>
      </c>
      <c r="C22" s="1" t="s">
        <v>180</v>
      </c>
      <c r="D22" s="1" t="s">
        <v>10</v>
      </c>
      <c r="E22">
        <v>10</v>
      </c>
      <c r="F22" s="3">
        <v>70</v>
      </c>
      <c r="H22" s="1">
        <f>provider_panel[[#This Row],[pct_adherent]] / 100</f>
        <v>0.7</v>
      </c>
      <c r="I22" s="1">
        <v>0</v>
      </c>
      <c r="J22" s="1">
        <f>provider_panel[[#This Row],[pct_high_risk]] / 100</f>
        <v>0</v>
      </c>
      <c r="K22">
        <v>0.86899999999999999</v>
      </c>
    </row>
    <row r="23" spans="1:11" x14ac:dyDescent="0.2">
      <c r="A23" s="1" t="s">
        <v>201</v>
      </c>
      <c r="B23" s="1" t="s">
        <v>202</v>
      </c>
      <c r="C23" s="1" t="s">
        <v>180</v>
      </c>
      <c r="D23" s="1" t="s">
        <v>12</v>
      </c>
      <c r="E23">
        <v>10</v>
      </c>
      <c r="F23" s="3">
        <v>40</v>
      </c>
      <c r="H23" s="1">
        <f>provider_panel[[#This Row],[pct_adherent]] / 100</f>
        <v>0.4</v>
      </c>
      <c r="I23" s="1">
        <v>20</v>
      </c>
      <c r="J23" s="1">
        <f>provider_panel[[#This Row],[pct_high_risk]] / 100</f>
        <v>0.2</v>
      </c>
      <c r="K23">
        <v>0.72399999999999998</v>
      </c>
    </row>
    <row r="24" spans="1:11" x14ac:dyDescent="0.2">
      <c r="A24" s="1" t="s">
        <v>201</v>
      </c>
      <c r="B24" s="1" t="s">
        <v>202</v>
      </c>
      <c r="C24" s="1" t="s">
        <v>180</v>
      </c>
      <c r="D24" s="1" t="s">
        <v>7</v>
      </c>
      <c r="E24">
        <v>10</v>
      </c>
      <c r="F24" s="3">
        <v>70</v>
      </c>
      <c r="H24" s="1">
        <f>provider_panel[[#This Row],[pct_adherent]] / 100</f>
        <v>0.7</v>
      </c>
      <c r="I24" s="1">
        <v>10</v>
      </c>
      <c r="J24" s="1">
        <f>provider_panel[[#This Row],[pct_high_risk]] / 100</f>
        <v>0.1</v>
      </c>
      <c r="K24">
        <v>0.83699999999999997</v>
      </c>
    </row>
    <row r="25" spans="1:11" x14ac:dyDescent="0.2">
      <c r="A25" s="1" t="s">
        <v>201</v>
      </c>
      <c r="B25" s="1" t="s">
        <v>202</v>
      </c>
      <c r="C25" s="1" t="s">
        <v>180</v>
      </c>
      <c r="D25" s="1" t="s">
        <v>10</v>
      </c>
      <c r="E25">
        <v>5</v>
      </c>
      <c r="F25" s="3">
        <v>20</v>
      </c>
      <c r="H25" s="1">
        <f>provider_panel[[#This Row],[pct_adherent]] / 100</f>
        <v>0.2</v>
      </c>
      <c r="I25" s="1">
        <v>20</v>
      </c>
      <c r="J25" s="1">
        <f>provider_panel[[#This Row],[pct_high_risk]] / 100</f>
        <v>0.2</v>
      </c>
      <c r="K25">
        <v>0.71299999999999997</v>
      </c>
    </row>
    <row r="26" spans="1:11" x14ac:dyDescent="0.2">
      <c r="A26" s="1" t="s">
        <v>196</v>
      </c>
      <c r="B26" s="1" t="s">
        <v>197</v>
      </c>
      <c r="C26" s="1" t="s">
        <v>198</v>
      </c>
      <c r="D26" s="1" t="s">
        <v>12</v>
      </c>
      <c r="E26">
        <v>8</v>
      </c>
      <c r="F26" s="3">
        <v>12.5</v>
      </c>
      <c r="H26" s="1">
        <f>provider_panel[[#This Row],[pct_adherent]] / 100</f>
        <v>0.125</v>
      </c>
      <c r="I26" s="1">
        <v>37.5</v>
      </c>
      <c r="J26" s="1">
        <f>provider_panel[[#This Row],[pct_high_risk]] / 100</f>
        <v>0.375</v>
      </c>
      <c r="K26">
        <v>0.63700000000000001</v>
      </c>
    </row>
    <row r="27" spans="1:11" x14ac:dyDescent="0.2">
      <c r="A27" s="1" t="s">
        <v>196</v>
      </c>
      <c r="B27" s="1" t="s">
        <v>197</v>
      </c>
      <c r="C27" s="1" t="s">
        <v>198</v>
      </c>
      <c r="D27" s="1" t="s">
        <v>7</v>
      </c>
      <c r="E27">
        <v>8</v>
      </c>
      <c r="F27" s="3">
        <v>25</v>
      </c>
      <c r="H27" s="1">
        <f>provider_panel[[#This Row],[pct_adherent]] / 100</f>
        <v>0.25</v>
      </c>
      <c r="I27" s="1">
        <v>12.5</v>
      </c>
      <c r="J27" s="1">
        <f>provider_panel[[#This Row],[pct_high_risk]] / 100</f>
        <v>0.125</v>
      </c>
      <c r="K27">
        <v>0.755</v>
      </c>
    </row>
    <row r="28" spans="1:11" x14ac:dyDescent="0.2">
      <c r="A28" s="1" t="s">
        <v>196</v>
      </c>
      <c r="B28" s="1" t="s">
        <v>197</v>
      </c>
      <c r="C28" s="1" t="s">
        <v>198</v>
      </c>
      <c r="D28" s="1" t="s">
        <v>10</v>
      </c>
      <c r="E28">
        <v>6</v>
      </c>
      <c r="F28" s="3">
        <v>66.7</v>
      </c>
      <c r="H28" s="1">
        <f>provider_panel[[#This Row],[pct_adherent]] / 100</f>
        <v>0.66700000000000004</v>
      </c>
      <c r="I28" s="1">
        <v>0</v>
      </c>
      <c r="J28" s="1">
        <f>provider_panel[[#This Row],[pct_high_risk]] / 100</f>
        <v>0</v>
      </c>
      <c r="K28">
        <v>0.82499999999999996</v>
      </c>
    </row>
    <row r="29" spans="1:11" x14ac:dyDescent="0.2">
      <c r="A29" s="1" t="s">
        <v>183</v>
      </c>
      <c r="B29" s="1" t="s">
        <v>184</v>
      </c>
      <c r="C29" s="1" t="s">
        <v>180</v>
      </c>
      <c r="D29" s="1" t="s">
        <v>12</v>
      </c>
      <c r="E29">
        <v>10</v>
      </c>
      <c r="F29" s="3">
        <v>70</v>
      </c>
      <c r="H29" s="1">
        <f>provider_panel[[#This Row],[pct_adherent]] / 100</f>
        <v>0.7</v>
      </c>
      <c r="I29" s="1">
        <v>0</v>
      </c>
      <c r="J29" s="1">
        <f>provider_panel[[#This Row],[pct_high_risk]] / 100</f>
        <v>0</v>
      </c>
      <c r="K29">
        <v>0.879</v>
      </c>
    </row>
    <row r="30" spans="1:11" x14ac:dyDescent="0.2">
      <c r="A30" s="1" t="s">
        <v>183</v>
      </c>
      <c r="B30" s="1" t="s">
        <v>184</v>
      </c>
      <c r="C30" s="1" t="s">
        <v>180</v>
      </c>
      <c r="D30" s="1" t="s">
        <v>7</v>
      </c>
      <c r="E30">
        <v>7</v>
      </c>
      <c r="F30" s="3">
        <v>57.1</v>
      </c>
      <c r="H30" s="1">
        <f>provider_panel[[#This Row],[pct_adherent]] / 100</f>
        <v>0.57100000000000006</v>
      </c>
      <c r="I30" s="1">
        <v>28.6</v>
      </c>
      <c r="J30" s="1">
        <f>provider_panel[[#This Row],[pct_high_risk]] / 100</f>
        <v>0.28600000000000003</v>
      </c>
      <c r="K30">
        <v>0.73799999999999999</v>
      </c>
    </row>
    <row r="31" spans="1:11" x14ac:dyDescent="0.2">
      <c r="A31" s="1" t="s">
        <v>183</v>
      </c>
      <c r="B31" s="1" t="s">
        <v>184</v>
      </c>
      <c r="C31" s="1" t="s">
        <v>180</v>
      </c>
      <c r="D31" s="1" t="s">
        <v>10</v>
      </c>
      <c r="E31">
        <v>7</v>
      </c>
      <c r="F31" s="3">
        <v>57.1</v>
      </c>
      <c r="H31" s="1">
        <f>provider_panel[[#This Row],[pct_adherent]] / 100</f>
        <v>0.57100000000000006</v>
      </c>
      <c r="I31" s="1">
        <v>42.9</v>
      </c>
      <c r="J31" s="1">
        <f>provider_panel[[#This Row],[pct_high_risk]] / 100</f>
        <v>0.42899999999999999</v>
      </c>
      <c r="K31">
        <v>0.71699999999999997</v>
      </c>
    </row>
    <row r="32" spans="1:11" x14ac:dyDescent="0.2">
      <c r="A32" s="1" t="s">
        <v>181</v>
      </c>
      <c r="B32" s="1" t="s">
        <v>182</v>
      </c>
      <c r="C32" s="1" t="s">
        <v>180</v>
      </c>
      <c r="D32" s="1" t="s">
        <v>12</v>
      </c>
      <c r="E32">
        <v>9</v>
      </c>
      <c r="F32" s="3">
        <v>55.6</v>
      </c>
      <c r="H32" s="1">
        <f>provider_panel[[#This Row],[pct_adherent]] / 100</f>
        <v>0.55600000000000005</v>
      </c>
      <c r="I32" s="1">
        <v>33.299999999999997</v>
      </c>
      <c r="J32" s="1">
        <f>provider_panel[[#This Row],[pct_high_risk]] / 100</f>
        <v>0.33299999999999996</v>
      </c>
      <c r="K32">
        <v>0.68899999999999995</v>
      </c>
    </row>
    <row r="33" spans="1:11" x14ac:dyDescent="0.2">
      <c r="A33" s="1" t="s">
        <v>181</v>
      </c>
      <c r="B33" s="1" t="s">
        <v>182</v>
      </c>
      <c r="C33" s="1" t="s">
        <v>180</v>
      </c>
      <c r="D33" s="1" t="s">
        <v>7</v>
      </c>
      <c r="E33">
        <v>13</v>
      </c>
      <c r="F33" s="3">
        <v>53.8</v>
      </c>
      <c r="H33" s="1">
        <f>provider_panel[[#This Row],[pct_adherent]] / 100</f>
        <v>0.53799999999999992</v>
      </c>
      <c r="I33" s="1">
        <v>38.5</v>
      </c>
      <c r="J33" s="1">
        <f>provider_panel[[#This Row],[pct_high_risk]] / 100</f>
        <v>0.38500000000000001</v>
      </c>
      <c r="K33">
        <v>0.71499999999999997</v>
      </c>
    </row>
    <row r="34" spans="1:11" x14ac:dyDescent="0.2">
      <c r="A34" s="1" t="s">
        <v>181</v>
      </c>
      <c r="B34" s="1" t="s">
        <v>182</v>
      </c>
      <c r="C34" s="1" t="s">
        <v>180</v>
      </c>
      <c r="D34" s="1" t="s">
        <v>10</v>
      </c>
      <c r="E34">
        <v>8</v>
      </c>
      <c r="F34" s="3">
        <v>50</v>
      </c>
      <c r="H34" s="1">
        <f>provider_panel[[#This Row],[pct_adherent]] / 100</f>
        <v>0.5</v>
      </c>
      <c r="I34" s="1">
        <v>25</v>
      </c>
      <c r="J34" s="1">
        <f>provider_panel[[#This Row],[pct_high_risk]] / 100</f>
        <v>0.25</v>
      </c>
      <c r="K34">
        <v>0.77900000000000003</v>
      </c>
    </row>
    <row r="35" spans="1:11" x14ac:dyDescent="0.2">
      <c r="A35" s="1" t="s">
        <v>187</v>
      </c>
      <c r="B35" s="1" t="s">
        <v>188</v>
      </c>
      <c r="C35" s="1" t="s">
        <v>180</v>
      </c>
      <c r="D35" s="1" t="s">
        <v>12</v>
      </c>
      <c r="E35">
        <v>7</v>
      </c>
      <c r="F35" s="3">
        <v>57.1</v>
      </c>
      <c r="H35" s="1">
        <f>provider_panel[[#This Row],[pct_adherent]] / 100</f>
        <v>0.57100000000000006</v>
      </c>
      <c r="I35" s="1">
        <v>0</v>
      </c>
      <c r="J35" s="1">
        <f>provider_panel[[#This Row],[pct_high_risk]] / 100</f>
        <v>0</v>
      </c>
      <c r="K35">
        <v>0.85099999999999998</v>
      </c>
    </row>
    <row r="36" spans="1:11" x14ac:dyDescent="0.2">
      <c r="A36" s="1" t="s">
        <v>187</v>
      </c>
      <c r="B36" s="1" t="s">
        <v>188</v>
      </c>
      <c r="C36" s="1" t="s">
        <v>180</v>
      </c>
      <c r="D36" s="1" t="s">
        <v>7</v>
      </c>
      <c r="E36">
        <v>6</v>
      </c>
      <c r="F36" s="3">
        <v>66.7</v>
      </c>
      <c r="H36" s="1">
        <f>provider_panel[[#This Row],[pct_adherent]] / 100</f>
        <v>0.66700000000000004</v>
      </c>
      <c r="I36" s="1">
        <v>16.7</v>
      </c>
      <c r="J36" s="1">
        <f>provider_panel[[#This Row],[pct_high_risk]] / 100</f>
        <v>0.16699999999999998</v>
      </c>
      <c r="K36">
        <v>0.79300000000000004</v>
      </c>
    </row>
    <row r="37" spans="1:11" x14ac:dyDescent="0.2">
      <c r="A37" s="1" t="s">
        <v>187</v>
      </c>
      <c r="B37" s="1" t="s">
        <v>188</v>
      </c>
      <c r="C37" s="1" t="s">
        <v>180</v>
      </c>
      <c r="D37" s="1" t="s">
        <v>10</v>
      </c>
      <c r="E37">
        <v>8</v>
      </c>
      <c r="F37" s="3">
        <v>25</v>
      </c>
      <c r="H37" s="1">
        <f>provider_panel[[#This Row],[pct_adherent]] / 100</f>
        <v>0.25</v>
      </c>
      <c r="I37" s="1">
        <v>37.5</v>
      </c>
      <c r="J37" s="1">
        <f>provider_panel[[#This Row],[pct_high_risk]] / 100</f>
        <v>0.375</v>
      </c>
      <c r="K37">
        <v>0.65700000000000003</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ABBBC-E49C-9746-BC69-DAEC992BC2A9}">
  <dimension ref="A1:I62"/>
  <sheetViews>
    <sheetView topLeftCell="A4" workbookViewId="0">
      <selection activeCell="F2" sqref="F2"/>
    </sheetView>
  </sheetViews>
  <sheetFormatPr baseColWidth="10" defaultRowHeight="16" x14ac:dyDescent="0.2"/>
  <cols>
    <col min="1" max="1" width="12.6640625" bestFit="1" customWidth="1"/>
    <col min="2" max="2" width="15.83203125" bestFit="1" customWidth="1"/>
    <col min="3" max="3" width="18.1640625" bestFit="1" customWidth="1"/>
    <col min="4" max="4" width="11.83203125" bestFit="1" customWidth="1"/>
    <col min="5" max="5" width="12.6640625" bestFit="1" customWidth="1"/>
    <col min="6" max="6" width="6.6640625" bestFit="1" customWidth="1"/>
    <col min="7" max="7" width="14.33203125" bestFit="1" customWidth="1"/>
    <col min="8" max="8" width="23" bestFit="1" customWidth="1"/>
    <col min="9" max="9" width="32" bestFit="1" customWidth="1"/>
    <col min="11" max="11" width="10.83203125" customWidth="1"/>
  </cols>
  <sheetData>
    <row r="1" spans="1:9" x14ac:dyDescent="0.2">
      <c r="A1" t="s">
        <v>172</v>
      </c>
      <c r="B1" t="s">
        <v>173</v>
      </c>
      <c r="C1" t="s">
        <v>174</v>
      </c>
      <c r="D1" t="s">
        <v>0</v>
      </c>
      <c r="E1" t="s">
        <v>1</v>
      </c>
      <c r="F1" t="s">
        <v>4</v>
      </c>
      <c r="G1" t="s">
        <v>175</v>
      </c>
      <c r="H1" t="s">
        <v>176</v>
      </c>
      <c r="I1" t="s">
        <v>177</v>
      </c>
    </row>
    <row r="2" spans="1:9" x14ac:dyDescent="0.2">
      <c r="A2" s="1" t="s">
        <v>178</v>
      </c>
      <c r="B2" s="1" t="s">
        <v>179</v>
      </c>
      <c r="C2" s="1" t="s">
        <v>180</v>
      </c>
      <c r="D2" s="1" t="s">
        <v>6</v>
      </c>
      <c r="E2" s="1" t="s">
        <v>7</v>
      </c>
      <c r="F2">
        <v>0.16300000000000001</v>
      </c>
      <c r="G2" s="2">
        <v>45846</v>
      </c>
      <c r="H2" s="2">
        <v>45875</v>
      </c>
      <c r="I2">
        <v>147</v>
      </c>
    </row>
    <row r="3" spans="1:9" x14ac:dyDescent="0.2">
      <c r="A3" s="1" t="s">
        <v>181</v>
      </c>
      <c r="B3" s="1" t="s">
        <v>182</v>
      </c>
      <c r="C3" s="1" t="s">
        <v>180</v>
      </c>
      <c r="D3" s="1" t="s">
        <v>11</v>
      </c>
      <c r="E3" s="1" t="s">
        <v>12</v>
      </c>
      <c r="F3">
        <v>0.16300000000000001</v>
      </c>
      <c r="G3" s="2">
        <v>45848</v>
      </c>
      <c r="H3" s="2">
        <v>45877</v>
      </c>
      <c r="I3">
        <v>145</v>
      </c>
    </row>
    <row r="4" spans="1:9" x14ac:dyDescent="0.2">
      <c r="A4" s="1" t="s">
        <v>183</v>
      </c>
      <c r="B4" s="1" t="s">
        <v>184</v>
      </c>
      <c r="C4" s="1" t="s">
        <v>180</v>
      </c>
      <c r="D4" s="1" t="s">
        <v>9</v>
      </c>
      <c r="E4" s="1" t="s">
        <v>10</v>
      </c>
      <c r="F4">
        <v>0.16300000000000001</v>
      </c>
      <c r="G4" s="2">
        <v>45851</v>
      </c>
      <c r="H4" s="2">
        <v>45880</v>
      </c>
      <c r="I4">
        <v>142</v>
      </c>
    </row>
    <row r="5" spans="1:9" x14ac:dyDescent="0.2">
      <c r="A5" s="1" t="s">
        <v>181</v>
      </c>
      <c r="B5" s="1" t="s">
        <v>182</v>
      </c>
      <c r="C5" s="1" t="s">
        <v>180</v>
      </c>
      <c r="D5" s="1" t="s">
        <v>14</v>
      </c>
      <c r="E5" s="1" t="s">
        <v>7</v>
      </c>
      <c r="F5">
        <v>0.32600000000000001</v>
      </c>
      <c r="G5" s="2">
        <v>45846</v>
      </c>
      <c r="H5" s="2">
        <v>45905</v>
      </c>
      <c r="I5">
        <v>117</v>
      </c>
    </row>
    <row r="6" spans="1:9" x14ac:dyDescent="0.2">
      <c r="A6" s="1" t="s">
        <v>185</v>
      </c>
      <c r="B6" s="1" t="s">
        <v>186</v>
      </c>
      <c r="C6" s="1" t="s">
        <v>180</v>
      </c>
      <c r="D6" s="1" t="s">
        <v>15</v>
      </c>
      <c r="E6" s="1" t="s">
        <v>7</v>
      </c>
      <c r="F6">
        <v>0.32600000000000001</v>
      </c>
      <c r="G6" s="2">
        <v>45852</v>
      </c>
      <c r="H6" s="2">
        <v>45911</v>
      </c>
      <c r="I6">
        <v>111</v>
      </c>
    </row>
    <row r="7" spans="1:9" x14ac:dyDescent="0.2">
      <c r="A7" s="1" t="s">
        <v>187</v>
      </c>
      <c r="B7" s="1" t="s">
        <v>188</v>
      </c>
      <c r="C7" s="1" t="s">
        <v>180</v>
      </c>
      <c r="D7" s="1" t="s">
        <v>17</v>
      </c>
      <c r="E7" s="1" t="s">
        <v>7</v>
      </c>
      <c r="F7">
        <v>0.32600000000000001</v>
      </c>
      <c r="G7" s="2">
        <v>45855</v>
      </c>
      <c r="H7" s="2">
        <v>45914</v>
      </c>
      <c r="I7">
        <v>108</v>
      </c>
    </row>
    <row r="8" spans="1:9" x14ac:dyDescent="0.2">
      <c r="A8" s="1" t="s">
        <v>189</v>
      </c>
      <c r="B8" s="1" t="s">
        <v>190</v>
      </c>
      <c r="C8" s="1" t="s">
        <v>191</v>
      </c>
      <c r="D8" s="1" t="s">
        <v>18</v>
      </c>
      <c r="E8" s="1" t="s">
        <v>10</v>
      </c>
      <c r="F8">
        <v>0.32600000000000001</v>
      </c>
      <c r="G8" s="2">
        <v>45892</v>
      </c>
      <c r="H8" s="2">
        <v>45921</v>
      </c>
      <c r="I8">
        <v>101</v>
      </c>
    </row>
    <row r="9" spans="1:9" x14ac:dyDescent="0.2">
      <c r="A9" s="1" t="s">
        <v>192</v>
      </c>
      <c r="B9" s="1" t="s">
        <v>193</v>
      </c>
      <c r="C9" s="1" t="s">
        <v>191</v>
      </c>
      <c r="D9" s="1" t="s">
        <v>13</v>
      </c>
      <c r="E9" s="1" t="s">
        <v>12</v>
      </c>
      <c r="F9">
        <v>0.32600000000000001</v>
      </c>
      <c r="G9" s="2">
        <v>45908</v>
      </c>
      <c r="H9" s="2">
        <v>45937</v>
      </c>
      <c r="I9">
        <v>85</v>
      </c>
    </row>
    <row r="10" spans="1:9" x14ac:dyDescent="0.2">
      <c r="A10" s="1" t="s">
        <v>187</v>
      </c>
      <c r="B10" s="1" t="s">
        <v>188</v>
      </c>
      <c r="C10" s="1" t="s">
        <v>180</v>
      </c>
      <c r="D10" s="1" t="s">
        <v>16</v>
      </c>
      <c r="E10" s="1" t="s">
        <v>10</v>
      </c>
      <c r="F10">
        <v>0.32600000000000001</v>
      </c>
      <c r="G10" s="2">
        <v>45946</v>
      </c>
      <c r="H10" s="2">
        <v>46005</v>
      </c>
      <c r="I10">
        <v>17</v>
      </c>
    </row>
    <row r="11" spans="1:9" x14ac:dyDescent="0.2">
      <c r="A11" s="1" t="s">
        <v>194</v>
      </c>
      <c r="B11" s="1" t="s">
        <v>195</v>
      </c>
      <c r="C11" s="1" t="s">
        <v>180</v>
      </c>
      <c r="D11" s="1" t="s">
        <v>19</v>
      </c>
      <c r="E11" s="1" t="s">
        <v>12</v>
      </c>
      <c r="F11">
        <v>0.42899999999999999</v>
      </c>
      <c r="G11" s="2">
        <v>46004</v>
      </c>
      <c r="H11" s="2">
        <v>46033</v>
      </c>
      <c r="I11">
        <v>-11</v>
      </c>
    </row>
    <row r="12" spans="1:9" x14ac:dyDescent="0.2">
      <c r="A12" s="1" t="s">
        <v>194</v>
      </c>
      <c r="B12" s="1" t="s">
        <v>195</v>
      </c>
      <c r="C12" s="1" t="s">
        <v>180</v>
      </c>
      <c r="D12" s="1" t="s">
        <v>20</v>
      </c>
      <c r="E12" s="1" t="s">
        <v>7</v>
      </c>
      <c r="F12">
        <v>0.46700000000000003</v>
      </c>
      <c r="G12" s="2">
        <v>45997</v>
      </c>
      <c r="H12" s="2">
        <v>46026</v>
      </c>
      <c r="I12">
        <v>-4</v>
      </c>
    </row>
    <row r="13" spans="1:9" x14ac:dyDescent="0.2">
      <c r="A13" s="1" t="s">
        <v>196</v>
      </c>
      <c r="B13" s="1" t="s">
        <v>197</v>
      </c>
      <c r="C13" s="1" t="s">
        <v>198</v>
      </c>
      <c r="D13" s="1" t="s">
        <v>21</v>
      </c>
      <c r="E13" s="1" t="s">
        <v>12</v>
      </c>
      <c r="F13">
        <v>0.47799999999999998</v>
      </c>
      <c r="G13" s="2">
        <v>45995</v>
      </c>
      <c r="H13" s="2">
        <v>46024</v>
      </c>
      <c r="I13">
        <v>-2</v>
      </c>
    </row>
    <row r="14" spans="1:9" x14ac:dyDescent="0.2">
      <c r="A14" s="1" t="s">
        <v>181</v>
      </c>
      <c r="B14" s="1" t="s">
        <v>182</v>
      </c>
      <c r="C14" s="1" t="s">
        <v>180</v>
      </c>
      <c r="D14" s="1" t="s">
        <v>25</v>
      </c>
      <c r="E14" s="1" t="s">
        <v>12</v>
      </c>
      <c r="F14">
        <v>0.48899999999999999</v>
      </c>
      <c r="G14" s="2">
        <v>45842</v>
      </c>
      <c r="H14" s="2">
        <v>45931</v>
      </c>
      <c r="I14">
        <v>91</v>
      </c>
    </row>
    <row r="15" spans="1:9" x14ac:dyDescent="0.2">
      <c r="A15" s="1" t="s">
        <v>185</v>
      </c>
      <c r="B15" s="1" t="s">
        <v>186</v>
      </c>
      <c r="C15" s="1" t="s">
        <v>180</v>
      </c>
      <c r="D15" s="1" t="s">
        <v>26</v>
      </c>
      <c r="E15" s="1" t="s">
        <v>7</v>
      </c>
      <c r="F15">
        <v>0.48899999999999999</v>
      </c>
      <c r="G15" s="2">
        <v>45843</v>
      </c>
      <c r="H15" s="2">
        <v>45932</v>
      </c>
      <c r="I15">
        <v>90</v>
      </c>
    </row>
    <row r="16" spans="1:9" x14ac:dyDescent="0.2">
      <c r="A16" s="1" t="s">
        <v>194</v>
      </c>
      <c r="B16" s="1" t="s">
        <v>195</v>
      </c>
      <c r="C16" s="1" t="s">
        <v>180</v>
      </c>
      <c r="D16" s="1" t="s">
        <v>49</v>
      </c>
      <c r="E16" s="1" t="s">
        <v>10</v>
      </c>
      <c r="F16">
        <v>0.48899999999999999</v>
      </c>
      <c r="G16" s="2">
        <v>45849</v>
      </c>
      <c r="H16" s="2">
        <v>45938</v>
      </c>
      <c r="I16">
        <v>84</v>
      </c>
    </row>
    <row r="17" spans="1:9" x14ac:dyDescent="0.2">
      <c r="A17" s="1" t="s">
        <v>189</v>
      </c>
      <c r="B17" s="1" t="s">
        <v>190</v>
      </c>
      <c r="C17" s="1" t="s">
        <v>191</v>
      </c>
      <c r="D17" s="1" t="s">
        <v>24</v>
      </c>
      <c r="E17" s="1" t="s">
        <v>7</v>
      </c>
      <c r="F17">
        <v>0.48899999999999999</v>
      </c>
      <c r="G17" s="2">
        <v>45851</v>
      </c>
      <c r="H17" s="2">
        <v>45940</v>
      </c>
      <c r="I17">
        <v>82</v>
      </c>
    </row>
    <row r="18" spans="1:9" x14ac:dyDescent="0.2">
      <c r="A18" s="1" t="s">
        <v>185</v>
      </c>
      <c r="B18" s="1" t="s">
        <v>186</v>
      </c>
      <c r="C18" s="1" t="s">
        <v>180</v>
      </c>
      <c r="D18" s="1" t="s">
        <v>27</v>
      </c>
      <c r="E18" s="1" t="s">
        <v>7</v>
      </c>
      <c r="F18">
        <v>0.48899999999999999</v>
      </c>
      <c r="G18" s="2">
        <v>45855</v>
      </c>
      <c r="H18" s="2">
        <v>45944</v>
      </c>
      <c r="I18">
        <v>78</v>
      </c>
    </row>
    <row r="19" spans="1:9" x14ac:dyDescent="0.2">
      <c r="A19" s="1" t="s">
        <v>185</v>
      </c>
      <c r="B19" s="1" t="s">
        <v>186</v>
      </c>
      <c r="C19" s="1" t="s">
        <v>180</v>
      </c>
      <c r="D19" s="1" t="s">
        <v>33</v>
      </c>
      <c r="E19" s="1" t="s">
        <v>7</v>
      </c>
      <c r="F19">
        <v>0.48899999999999999</v>
      </c>
      <c r="G19" s="2">
        <v>45855</v>
      </c>
      <c r="H19" s="2">
        <v>45944</v>
      </c>
      <c r="I19">
        <v>78</v>
      </c>
    </row>
    <row r="20" spans="1:9" x14ac:dyDescent="0.2">
      <c r="A20" s="1" t="s">
        <v>183</v>
      </c>
      <c r="B20" s="1" t="s">
        <v>184</v>
      </c>
      <c r="C20" s="1" t="s">
        <v>180</v>
      </c>
      <c r="D20" s="1" t="s">
        <v>36</v>
      </c>
      <c r="E20" s="1" t="s">
        <v>7</v>
      </c>
      <c r="F20">
        <v>0.48899999999999999</v>
      </c>
      <c r="G20" s="2">
        <v>45932</v>
      </c>
      <c r="H20" s="2">
        <v>45961</v>
      </c>
      <c r="I20">
        <v>61</v>
      </c>
    </row>
    <row r="21" spans="1:9" x14ac:dyDescent="0.2">
      <c r="A21" s="1" t="s">
        <v>178</v>
      </c>
      <c r="B21" s="1" t="s">
        <v>179</v>
      </c>
      <c r="C21" s="1" t="s">
        <v>180</v>
      </c>
      <c r="D21" s="1" t="s">
        <v>37</v>
      </c>
      <c r="E21" s="1" t="s">
        <v>12</v>
      </c>
      <c r="F21">
        <v>0.48899999999999999</v>
      </c>
      <c r="G21" s="2">
        <v>45952</v>
      </c>
      <c r="H21" s="2">
        <v>45981</v>
      </c>
      <c r="I21">
        <v>41</v>
      </c>
    </row>
    <row r="22" spans="1:9" x14ac:dyDescent="0.2">
      <c r="A22" s="1" t="s">
        <v>199</v>
      </c>
      <c r="B22" s="1" t="s">
        <v>200</v>
      </c>
      <c r="C22" s="1" t="s">
        <v>191</v>
      </c>
      <c r="D22" s="1" t="s">
        <v>31</v>
      </c>
      <c r="E22" s="1" t="s">
        <v>7</v>
      </c>
      <c r="F22">
        <v>0.48899999999999999</v>
      </c>
      <c r="G22" s="2">
        <v>45958</v>
      </c>
      <c r="H22" s="2">
        <v>45987</v>
      </c>
      <c r="I22">
        <v>35</v>
      </c>
    </row>
    <row r="23" spans="1:9" x14ac:dyDescent="0.2">
      <c r="A23" s="1" t="s">
        <v>185</v>
      </c>
      <c r="B23" s="1" t="s">
        <v>186</v>
      </c>
      <c r="C23" s="1" t="s">
        <v>180</v>
      </c>
      <c r="D23" s="1" t="s">
        <v>44</v>
      </c>
      <c r="E23" s="1" t="s">
        <v>7</v>
      </c>
      <c r="F23">
        <v>0.48899999999999999</v>
      </c>
      <c r="G23" s="2">
        <v>45965</v>
      </c>
      <c r="H23" s="2">
        <v>45994</v>
      </c>
      <c r="I23">
        <v>28</v>
      </c>
    </row>
    <row r="24" spans="1:9" x14ac:dyDescent="0.2">
      <c r="A24" s="1" t="s">
        <v>185</v>
      </c>
      <c r="B24" s="1" t="s">
        <v>186</v>
      </c>
      <c r="C24" s="1" t="s">
        <v>180</v>
      </c>
      <c r="D24" s="1" t="s">
        <v>42</v>
      </c>
      <c r="E24" s="1" t="s">
        <v>7</v>
      </c>
      <c r="F24">
        <v>0.48899999999999999</v>
      </c>
      <c r="G24" s="2">
        <v>45969</v>
      </c>
      <c r="H24" s="2">
        <v>45998</v>
      </c>
      <c r="I24">
        <v>24</v>
      </c>
    </row>
    <row r="25" spans="1:9" x14ac:dyDescent="0.2">
      <c r="A25" s="1" t="s">
        <v>192</v>
      </c>
      <c r="B25" s="1" t="s">
        <v>193</v>
      </c>
      <c r="C25" s="1" t="s">
        <v>191</v>
      </c>
      <c r="D25" s="1" t="s">
        <v>22</v>
      </c>
      <c r="E25" s="1" t="s">
        <v>10</v>
      </c>
      <c r="F25">
        <v>0.48899999999999999</v>
      </c>
      <c r="G25" s="2">
        <v>45971</v>
      </c>
      <c r="H25" s="2">
        <v>46000</v>
      </c>
      <c r="I25">
        <v>22</v>
      </c>
    </row>
    <row r="26" spans="1:9" x14ac:dyDescent="0.2">
      <c r="A26" s="1" t="s">
        <v>185</v>
      </c>
      <c r="B26" s="1" t="s">
        <v>186</v>
      </c>
      <c r="C26" s="1" t="s">
        <v>180</v>
      </c>
      <c r="D26" s="1" t="s">
        <v>38</v>
      </c>
      <c r="E26" s="1" t="s">
        <v>7</v>
      </c>
      <c r="F26">
        <v>0.48899999999999999</v>
      </c>
      <c r="G26" s="2">
        <v>45971</v>
      </c>
      <c r="H26" s="2">
        <v>46000</v>
      </c>
      <c r="I26">
        <v>22</v>
      </c>
    </row>
    <row r="27" spans="1:9" x14ac:dyDescent="0.2">
      <c r="A27" s="1" t="s">
        <v>181</v>
      </c>
      <c r="B27" s="1" t="s">
        <v>182</v>
      </c>
      <c r="C27" s="1" t="s">
        <v>180</v>
      </c>
      <c r="D27" s="1" t="s">
        <v>30</v>
      </c>
      <c r="E27" s="1" t="s">
        <v>12</v>
      </c>
      <c r="F27">
        <v>0.48899999999999999</v>
      </c>
      <c r="G27" s="2">
        <v>45973</v>
      </c>
      <c r="H27" s="2">
        <v>46002</v>
      </c>
      <c r="I27">
        <v>20</v>
      </c>
    </row>
    <row r="28" spans="1:9" x14ac:dyDescent="0.2">
      <c r="A28" s="1" t="s">
        <v>185</v>
      </c>
      <c r="B28" s="1" t="s">
        <v>186</v>
      </c>
      <c r="C28" s="1" t="s">
        <v>180</v>
      </c>
      <c r="D28" s="1" t="s">
        <v>40</v>
      </c>
      <c r="E28" s="1" t="s">
        <v>12</v>
      </c>
      <c r="F28">
        <v>0.48899999999999999</v>
      </c>
      <c r="G28" s="2">
        <v>45973</v>
      </c>
      <c r="H28" s="2">
        <v>46002</v>
      </c>
      <c r="I28">
        <v>20</v>
      </c>
    </row>
    <row r="29" spans="1:9" x14ac:dyDescent="0.2">
      <c r="A29" s="1" t="s">
        <v>181</v>
      </c>
      <c r="B29" s="1" t="s">
        <v>182</v>
      </c>
      <c r="C29" s="1" t="s">
        <v>180</v>
      </c>
      <c r="D29" s="1" t="s">
        <v>28</v>
      </c>
      <c r="E29" s="1" t="s">
        <v>7</v>
      </c>
      <c r="F29">
        <v>0.48899999999999999</v>
      </c>
      <c r="G29" s="2">
        <v>45974</v>
      </c>
      <c r="H29" s="2">
        <v>46003</v>
      </c>
      <c r="I29">
        <v>19</v>
      </c>
    </row>
    <row r="30" spans="1:9" x14ac:dyDescent="0.2">
      <c r="A30" s="1" t="s">
        <v>192</v>
      </c>
      <c r="B30" s="1" t="s">
        <v>193</v>
      </c>
      <c r="C30" s="1" t="s">
        <v>191</v>
      </c>
      <c r="D30" s="1" t="s">
        <v>22</v>
      </c>
      <c r="E30" s="1" t="s">
        <v>12</v>
      </c>
      <c r="F30">
        <v>0.48899999999999999</v>
      </c>
      <c r="G30" s="2">
        <v>45975</v>
      </c>
      <c r="H30" s="2">
        <v>46004</v>
      </c>
      <c r="I30">
        <v>18</v>
      </c>
    </row>
    <row r="31" spans="1:9" x14ac:dyDescent="0.2">
      <c r="A31" s="1" t="s">
        <v>199</v>
      </c>
      <c r="B31" s="1" t="s">
        <v>200</v>
      </c>
      <c r="C31" s="1" t="s">
        <v>191</v>
      </c>
      <c r="D31" s="1" t="s">
        <v>34</v>
      </c>
      <c r="E31" s="1" t="s">
        <v>12</v>
      </c>
      <c r="F31">
        <v>0.48899999999999999</v>
      </c>
      <c r="G31" s="2">
        <v>45975</v>
      </c>
      <c r="H31" s="2">
        <v>46004</v>
      </c>
      <c r="I31">
        <v>18</v>
      </c>
    </row>
    <row r="32" spans="1:9" x14ac:dyDescent="0.2">
      <c r="A32" s="1" t="s">
        <v>201</v>
      </c>
      <c r="B32" s="1" t="s">
        <v>202</v>
      </c>
      <c r="C32" s="1" t="s">
        <v>180</v>
      </c>
      <c r="D32" s="1" t="s">
        <v>35</v>
      </c>
      <c r="E32" s="1" t="s">
        <v>7</v>
      </c>
      <c r="F32">
        <v>0.48899999999999999</v>
      </c>
      <c r="G32" s="2">
        <v>45975</v>
      </c>
      <c r="H32" s="2">
        <v>46004</v>
      </c>
      <c r="I32">
        <v>18</v>
      </c>
    </row>
    <row r="33" spans="1:9" x14ac:dyDescent="0.2">
      <c r="A33" s="1" t="s">
        <v>181</v>
      </c>
      <c r="B33" s="1" t="s">
        <v>182</v>
      </c>
      <c r="C33" s="1" t="s">
        <v>180</v>
      </c>
      <c r="D33" s="1" t="s">
        <v>45</v>
      </c>
      <c r="E33" s="1" t="s">
        <v>7</v>
      </c>
      <c r="F33">
        <v>0.48899999999999999</v>
      </c>
      <c r="G33" s="2">
        <v>45975</v>
      </c>
      <c r="H33" s="2">
        <v>46004</v>
      </c>
      <c r="I33">
        <v>18</v>
      </c>
    </row>
    <row r="34" spans="1:9" x14ac:dyDescent="0.2">
      <c r="A34" s="1" t="s">
        <v>185</v>
      </c>
      <c r="B34" s="1" t="s">
        <v>186</v>
      </c>
      <c r="C34" s="1" t="s">
        <v>180</v>
      </c>
      <c r="D34" s="1" t="s">
        <v>47</v>
      </c>
      <c r="E34" s="1" t="s">
        <v>12</v>
      </c>
      <c r="F34">
        <v>0.48899999999999999</v>
      </c>
      <c r="G34" s="2">
        <v>45977</v>
      </c>
      <c r="H34" s="2">
        <v>46006</v>
      </c>
      <c r="I34">
        <v>16</v>
      </c>
    </row>
    <row r="35" spans="1:9" x14ac:dyDescent="0.2">
      <c r="A35" s="1" t="s">
        <v>196</v>
      </c>
      <c r="B35" s="1" t="s">
        <v>197</v>
      </c>
      <c r="C35" s="1" t="s">
        <v>198</v>
      </c>
      <c r="D35" s="1" t="s">
        <v>32</v>
      </c>
      <c r="E35" s="1" t="s">
        <v>12</v>
      </c>
      <c r="F35">
        <v>0.48899999999999999</v>
      </c>
      <c r="G35" s="2">
        <v>45978</v>
      </c>
      <c r="H35" s="2">
        <v>46007</v>
      </c>
      <c r="I35">
        <v>15</v>
      </c>
    </row>
    <row r="36" spans="1:9" x14ac:dyDescent="0.2">
      <c r="A36" s="1" t="s">
        <v>201</v>
      </c>
      <c r="B36" s="1" t="s">
        <v>202</v>
      </c>
      <c r="C36" s="1" t="s">
        <v>180</v>
      </c>
      <c r="D36" s="1" t="s">
        <v>39</v>
      </c>
      <c r="E36" s="1" t="s">
        <v>12</v>
      </c>
      <c r="F36">
        <v>0.48899999999999999</v>
      </c>
      <c r="G36" s="2">
        <v>45978</v>
      </c>
      <c r="H36" s="2">
        <v>46007</v>
      </c>
      <c r="I36">
        <v>15</v>
      </c>
    </row>
    <row r="37" spans="1:9" x14ac:dyDescent="0.2">
      <c r="A37" s="1" t="s">
        <v>178</v>
      </c>
      <c r="B37" s="1" t="s">
        <v>179</v>
      </c>
      <c r="C37" s="1" t="s">
        <v>180</v>
      </c>
      <c r="D37" s="1" t="s">
        <v>29</v>
      </c>
      <c r="E37" s="1" t="s">
        <v>7</v>
      </c>
      <c r="F37">
        <v>0.48899999999999999</v>
      </c>
      <c r="G37" s="2">
        <v>45981</v>
      </c>
      <c r="H37" s="2">
        <v>46010</v>
      </c>
      <c r="I37">
        <v>12</v>
      </c>
    </row>
    <row r="38" spans="1:9" x14ac:dyDescent="0.2">
      <c r="A38" s="1" t="s">
        <v>201</v>
      </c>
      <c r="B38" s="1" t="s">
        <v>202</v>
      </c>
      <c r="C38" s="1" t="s">
        <v>180</v>
      </c>
      <c r="D38" s="1" t="s">
        <v>23</v>
      </c>
      <c r="E38" s="1" t="s">
        <v>10</v>
      </c>
      <c r="F38">
        <v>0.48899999999999999</v>
      </c>
      <c r="G38" s="2">
        <v>45982</v>
      </c>
      <c r="H38" s="2">
        <v>46011</v>
      </c>
      <c r="I38">
        <v>11</v>
      </c>
    </row>
    <row r="39" spans="1:9" x14ac:dyDescent="0.2">
      <c r="A39" s="1" t="s">
        <v>183</v>
      </c>
      <c r="B39" s="1" t="s">
        <v>184</v>
      </c>
      <c r="C39" s="1" t="s">
        <v>180</v>
      </c>
      <c r="D39" s="1" t="s">
        <v>41</v>
      </c>
      <c r="E39" s="1" t="s">
        <v>10</v>
      </c>
      <c r="F39">
        <v>0.48899999999999999</v>
      </c>
      <c r="G39" s="2">
        <v>45982</v>
      </c>
      <c r="H39" s="2">
        <v>46011</v>
      </c>
      <c r="I39">
        <v>11</v>
      </c>
    </row>
    <row r="40" spans="1:9" x14ac:dyDescent="0.2">
      <c r="A40" s="1" t="s">
        <v>203</v>
      </c>
      <c r="B40" s="1" t="s">
        <v>204</v>
      </c>
      <c r="C40" s="1" t="s">
        <v>205</v>
      </c>
      <c r="D40" s="1" t="s">
        <v>43</v>
      </c>
      <c r="E40" s="1" t="s">
        <v>7</v>
      </c>
      <c r="F40">
        <v>0.48899999999999999</v>
      </c>
      <c r="G40" s="2">
        <v>45982</v>
      </c>
      <c r="H40" s="2">
        <v>46011</v>
      </c>
      <c r="I40">
        <v>11</v>
      </c>
    </row>
    <row r="41" spans="1:9" x14ac:dyDescent="0.2">
      <c r="A41" s="1" t="s">
        <v>181</v>
      </c>
      <c r="B41" s="1" t="s">
        <v>182</v>
      </c>
      <c r="C41" s="1" t="s">
        <v>180</v>
      </c>
      <c r="D41" s="1" t="s">
        <v>46</v>
      </c>
      <c r="E41" s="1" t="s">
        <v>7</v>
      </c>
      <c r="F41">
        <v>0.48899999999999999</v>
      </c>
      <c r="G41" s="2">
        <v>45982</v>
      </c>
      <c r="H41" s="2">
        <v>46011</v>
      </c>
      <c r="I41">
        <v>11</v>
      </c>
    </row>
    <row r="42" spans="1:9" x14ac:dyDescent="0.2">
      <c r="A42" s="1" t="s">
        <v>199</v>
      </c>
      <c r="B42" s="1" t="s">
        <v>200</v>
      </c>
      <c r="C42" s="1" t="s">
        <v>191</v>
      </c>
      <c r="D42" s="1" t="s">
        <v>48</v>
      </c>
      <c r="E42" s="1" t="s">
        <v>10</v>
      </c>
      <c r="F42">
        <v>0.48899999999999999</v>
      </c>
      <c r="G42" s="2">
        <v>45989</v>
      </c>
      <c r="H42" s="2">
        <v>46018</v>
      </c>
      <c r="I42">
        <v>4</v>
      </c>
    </row>
    <row r="43" spans="1:9" x14ac:dyDescent="0.2">
      <c r="A43" s="1" t="s">
        <v>192</v>
      </c>
      <c r="B43" s="1" t="s">
        <v>193</v>
      </c>
      <c r="C43" s="1" t="s">
        <v>191</v>
      </c>
      <c r="D43" s="1" t="s">
        <v>50</v>
      </c>
      <c r="E43" s="1" t="s">
        <v>10</v>
      </c>
      <c r="F43">
        <v>0.5</v>
      </c>
      <c r="G43" s="2">
        <v>46021</v>
      </c>
      <c r="H43" s="2">
        <v>46050</v>
      </c>
      <c r="I43">
        <v>-28</v>
      </c>
    </row>
    <row r="44" spans="1:9" x14ac:dyDescent="0.2">
      <c r="A44" s="1" t="s">
        <v>178</v>
      </c>
      <c r="B44" s="1" t="s">
        <v>179</v>
      </c>
      <c r="C44" s="1" t="s">
        <v>180</v>
      </c>
      <c r="D44" s="1" t="s">
        <v>51</v>
      </c>
      <c r="E44" s="1" t="s">
        <v>12</v>
      </c>
      <c r="F44">
        <v>0.5</v>
      </c>
      <c r="G44" s="2">
        <v>46021</v>
      </c>
      <c r="H44" s="2">
        <v>46050</v>
      </c>
      <c r="I44">
        <v>-28</v>
      </c>
    </row>
    <row r="45" spans="1:9" x14ac:dyDescent="0.2">
      <c r="A45" s="1" t="s">
        <v>181</v>
      </c>
      <c r="B45" s="1" t="s">
        <v>182</v>
      </c>
      <c r="C45" s="1" t="s">
        <v>180</v>
      </c>
      <c r="D45" s="1" t="s">
        <v>46</v>
      </c>
      <c r="E45" s="1" t="s">
        <v>10</v>
      </c>
      <c r="F45">
        <v>0.505</v>
      </c>
      <c r="G45" s="2">
        <v>46020</v>
      </c>
      <c r="H45" s="2">
        <v>46049</v>
      </c>
      <c r="I45">
        <v>-27</v>
      </c>
    </row>
    <row r="46" spans="1:9" x14ac:dyDescent="0.2">
      <c r="A46" s="1" t="s">
        <v>181</v>
      </c>
      <c r="B46" s="1" t="s">
        <v>182</v>
      </c>
      <c r="C46" s="1" t="s">
        <v>180</v>
      </c>
      <c r="D46" s="1" t="s">
        <v>52</v>
      </c>
      <c r="E46" s="1" t="s">
        <v>7</v>
      </c>
      <c r="F46">
        <v>0.51100000000000001</v>
      </c>
      <c r="G46" s="2">
        <v>46019</v>
      </c>
      <c r="H46" s="2">
        <v>46048</v>
      </c>
      <c r="I46">
        <v>-26</v>
      </c>
    </row>
    <row r="47" spans="1:9" x14ac:dyDescent="0.2">
      <c r="A47" s="1" t="s">
        <v>189</v>
      </c>
      <c r="B47" s="1" t="s">
        <v>190</v>
      </c>
      <c r="C47" s="1" t="s">
        <v>191</v>
      </c>
      <c r="D47" s="1" t="s">
        <v>53</v>
      </c>
      <c r="E47" s="1" t="s">
        <v>7</v>
      </c>
      <c r="F47">
        <v>0.51600000000000001</v>
      </c>
      <c r="G47" s="2">
        <v>46018</v>
      </c>
      <c r="H47" s="2">
        <v>46047</v>
      </c>
      <c r="I47">
        <v>-25</v>
      </c>
    </row>
    <row r="48" spans="1:9" x14ac:dyDescent="0.2">
      <c r="A48" s="1" t="s">
        <v>185</v>
      </c>
      <c r="B48" s="1" t="s">
        <v>186</v>
      </c>
      <c r="C48" s="1" t="s">
        <v>180</v>
      </c>
      <c r="D48" s="1" t="s">
        <v>44</v>
      </c>
      <c r="E48" s="1" t="s">
        <v>12</v>
      </c>
      <c r="F48">
        <v>0.51600000000000001</v>
      </c>
      <c r="G48" s="2">
        <v>46018</v>
      </c>
      <c r="H48" s="2">
        <v>46047</v>
      </c>
      <c r="I48">
        <v>-25</v>
      </c>
    </row>
    <row r="49" spans="1:9" x14ac:dyDescent="0.2">
      <c r="A49" s="1" t="s">
        <v>194</v>
      </c>
      <c r="B49" s="1" t="s">
        <v>195</v>
      </c>
      <c r="C49" s="1" t="s">
        <v>180</v>
      </c>
      <c r="D49" s="1" t="s">
        <v>54</v>
      </c>
      <c r="E49" s="1" t="s">
        <v>12</v>
      </c>
      <c r="F49">
        <v>0.52200000000000002</v>
      </c>
      <c r="G49" s="2">
        <v>45987</v>
      </c>
      <c r="H49" s="2">
        <v>46046</v>
      </c>
      <c r="I49">
        <v>-24</v>
      </c>
    </row>
    <row r="50" spans="1:9" x14ac:dyDescent="0.2">
      <c r="A50" s="1" t="s">
        <v>203</v>
      </c>
      <c r="B50" s="1" t="s">
        <v>204</v>
      </c>
      <c r="C50" s="1" t="s">
        <v>205</v>
      </c>
      <c r="D50" s="1" t="s">
        <v>55</v>
      </c>
      <c r="E50" s="1" t="s">
        <v>10</v>
      </c>
      <c r="F50">
        <v>0.52700000000000002</v>
      </c>
      <c r="G50" s="2">
        <v>46016</v>
      </c>
      <c r="H50" s="2">
        <v>46045</v>
      </c>
      <c r="I50">
        <v>-23</v>
      </c>
    </row>
    <row r="51" spans="1:9" x14ac:dyDescent="0.2">
      <c r="A51" s="1" t="s">
        <v>185</v>
      </c>
      <c r="B51" s="1" t="s">
        <v>186</v>
      </c>
      <c r="C51" s="1" t="s">
        <v>180</v>
      </c>
      <c r="D51" s="1" t="s">
        <v>42</v>
      </c>
      <c r="E51" s="1" t="s">
        <v>12</v>
      </c>
      <c r="F51">
        <v>0.52700000000000002</v>
      </c>
      <c r="G51" s="2">
        <v>46016</v>
      </c>
      <c r="H51" s="2">
        <v>46045</v>
      </c>
      <c r="I51">
        <v>-23</v>
      </c>
    </row>
    <row r="52" spans="1:9" x14ac:dyDescent="0.2">
      <c r="A52" s="1" t="s">
        <v>187</v>
      </c>
      <c r="B52" s="1" t="s">
        <v>188</v>
      </c>
      <c r="C52" s="1" t="s">
        <v>180</v>
      </c>
      <c r="D52" s="1" t="s">
        <v>56</v>
      </c>
      <c r="E52" s="1" t="s">
        <v>10</v>
      </c>
      <c r="F52">
        <v>0.53800000000000003</v>
      </c>
      <c r="G52" s="2">
        <v>45984</v>
      </c>
      <c r="H52" s="2">
        <v>46043</v>
      </c>
      <c r="I52">
        <v>-21</v>
      </c>
    </row>
    <row r="53" spans="1:9" x14ac:dyDescent="0.2">
      <c r="A53" s="1" t="s">
        <v>178</v>
      </c>
      <c r="B53" s="1" t="s">
        <v>179</v>
      </c>
      <c r="C53" s="1" t="s">
        <v>180</v>
      </c>
      <c r="D53" s="1" t="s">
        <v>57</v>
      </c>
      <c r="E53" s="1" t="s">
        <v>12</v>
      </c>
      <c r="F53">
        <v>0.54300000000000004</v>
      </c>
      <c r="G53" s="2">
        <v>46013</v>
      </c>
      <c r="H53" s="2">
        <v>46042</v>
      </c>
      <c r="I53">
        <v>-20</v>
      </c>
    </row>
    <row r="54" spans="1:9" x14ac:dyDescent="0.2">
      <c r="A54" s="1" t="s">
        <v>196</v>
      </c>
      <c r="B54" s="1" t="s">
        <v>197</v>
      </c>
      <c r="C54" s="1" t="s">
        <v>198</v>
      </c>
      <c r="D54" s="1" t="s">
        <v>58</v>
      </c>
      <c r="E54" s="1" t="s">
        <v>12</v>
      </c>
      <c r="F54">
        <v>0.54900000000000004</v>
      </c>
      <c r="G54" s="2">
        <v>46012</v>
      </c>
      <c r="H54" s="2">
        <v>46041</v>
      </c>
      <c r="I54">
        <v>-19</v>
      </c>
    </row>
    <row r="55" spans="1:9" x14ac:dyDescent="0.2">
      <c r="A55" s="1" t="s">
        <v>185</v>
      </c>
      <c r="B55" s="1" t="s">
        <v>186</v>
      </c>
      <c r="C55" s="1" t="s">
        <v>180</v>
      </c>
      <c r="D55" s="1" t="s">
        <v>59</v>
      </c>
      <c r="E55" s="1" t="s">
        <v>12</v>
      </c>
      <c r="F55">
        <v>0.54900000000000004</v>
      </c>
      <c r="G55" s="2">
        <v>46012</v>
      </c>
      <c r="H55" s="2">
        <v>46041</v>
      </c>
      <c r="I55">
        <v>-19</v>
      </c>
    </row>
    <row r="56" spans="1:9" x14ac:dyDescent="0.2">
      <c r="A56" s="1" t="s">
        <v>183</v>
      </c>
      <c r="B56" s="1" t="s">
        <v>184</v>
      </c>
      <c r="C56" s="1" t="s">
        <v>180</v>
      </c>
      <c r="D56" s="1" t="s">
        <v>60</v>
      </c>
      <c r="E56" s="1" t="s">
        <v>7</v>
      </c>
      <c r="F56">
        <v>0.55400000000000005</v>
      </c>
      <c r="G56" s="2">
        <v>46011</v>
      </c>
      <c r="H56" s="2">
        <v>46040</v>
      </c>
      <c r="I56">
        <v>-18</v>
      </c>
    </row>
    <row r="57" spans="1:9" x14ac:dyDescent="0.2">
      <c r="A57" s="1" t="s">
        <v>181</v>
      </c>
      <c r="B57" s="1" t="s">
        <v>182</v>
      </c>
      <c r="C57" s="1" t="s">
        <v>180</v>
      </c>
      <c r="D57" s="1" t="s">
        <v>61</v>
      </c>
      <c r="E57" s="1" t="s">
        <v>10</v>
      </c>
      <c r="F57">
        <v>0.56000000000000005</v>
      </c>
      <c r="G57" s="2">
        <v>46010</v>
      </c>
      <c r="H57" s="2">
        <v>46039</v>
      </c>
      <c r="I57">
        <v>-17</v>
      </c>
    </row>
    <row r="58" spans="1:9" x14ac:dyDescent="0.2">
      <c r="A58" s="1" t="s">
        <v>178</v>
      </c>
      <c r="B58" s="1" t="s">
        <v>179</v>
      </c>
      <c r="C58" s="1" t="s">
        <v>180</v>
      </c>
      <c r="D58" s="1" t="s">
        <v>57</v>
      </c>
      <c r="E58" s="1" t="s">
        <v>7</v>
      </c>
      <c r="F58">
        <v>0.56499999999999995</v>
      </c>
      <c r="G58" s="2">
        <v>46009</v>
      </c>
      <c r="H58" s="2">
        <v>46038</v>
      </c>
      <c r="I58">
        <v>-16</v>
      </c>
    </row>
    <row r="59" spans="1:9" x14ac:dyDescent="0.2">
      <c r="A59" s="1" t="s">
        <v>187</v>
      </c>
      <c r="B59" s="1" t="s">
        <v>188</v>
      </c>
      <c r="C59" s="1" t="s">
        <v>180</v>
      </c>
      <c r="D59" s="1" t="s">
        <v>62</v>
      </c>
      <c r="E59" s="1" t="s">
        <v>10</v>
      </c>
      <c r="F59">
        <v>0.57099999999999995</v>
      </c>
      <c r="G59" s="2">
        <v>46008</v>
      </c>
      <c r="H59" s="2">
        <v>46037</v>
      </c>
      <c r="I59">
        <v>-15</v>
      </c>
    </row>
    <row r="60" spans="1:9" x14ac:dyDescent="0.2">
      <c r="A60" s="1" t="s">
        <v>183</v>
      </c>
      <c r="B60" s="1" t="s">
        <v>184</v>
      </c>
      <c r="C60" s="1" t="s">
        <v>180</v>
      </c>
      <c r="D60" s="1" t="s">
        <v>36</v>
      </c>
      <c r="E60" s="1" t="s">
        <v>10</v>
      </c>
      <c r="F60">
        <v>0.57599999999999996</v>
      </c>
      <c r="G60" s="2">
        <v>46007</v>
      </c>
      <c r="H60" s="2">
        <v>46036</v>
      </c>
      <c r="I60">
        <v>-14</v>
      </c>
    </row>
    <row r="61" spans="1:9" x14ac:dyDescent="0.2">
      <c r="A61" s="1" t="s">
        <v>201</v>
      </c>
      <c r="B61" s="1" t="s">
        <v>202</v>
      </c>
      <c r="C61" s="1" t="s">
        <v>180</v>
      </c>
      <c r="D61" s="1" t="s">
        <v>63</v>
      </c>
      <c r="E61" s="1" t="s">
        <v>12</v>
      </c>
      <c r="F61">
        <v>0.57599999999999996</v>
      </c>
      <c r="G61" s="2">
        <v>46007</v>
      </c>
      <c r="H61" s="2">
        <v>46036</v>
      </c>
      <c r="I61">
        <v>-14</v>
      </c>
    </row>
    <row r="62" spans="1:9" x14ac:dyDescent="0.2">
      <c r="A62" s="1" t="s">
        <v>196</v>
      </c>
      <c r="B62" s="1" t="s">
        <v>197</v>
      </c>
      <c r="C62" s="1" t="s">
        <v>198</v>
      </c>
      <c r="D62" s="1" t="s">
        <v>32</v>
      </c>
      <c r="E62" s="1" t="s">
        <v>7</v>
      </c>
      <c r="F62">
        <v>0.59199999999999997</v>
      </c>
      <c r="G62" s="2">
        <v>45974</v>
      </c>
      <c r="H62" s="2">
        <v>46033</v>
      </c>
      <c r="I62">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FCECE-B826-054A-B14A-26713594AA13}">
  <dimension ref="A1:Q52"/>
  <sheetViews>
    <sheetView showGridLines="0" tabSelected="1" zoomScaleNormal="100" workbookViewId="0">
      <selection activeCell="H49" sqref="H49"/>
    </sheetView>
  </sheetViews>
  <sheetFormatPr baseColWidth="10" defaultRowHeight="16" x14ac:dyDescent="0.2"/>
  <cols>
    <col min="1" max="1" width="13" bestFit="1" customWidth="1"/>
    <col min="2" max="2" width="12" bestFit="1" customWidth="1"/>
    <col min="3" max="3" width="16.5" bestFit="1" customWidth="1"/>
    <col min="4" max="4" width="13" customWidth="1"/>
    <col min="5" max="5" width="12" bestFit="1" customWidth="1"/>
    <col min="6" max="6" width="15.1640625" bestFit="1" customWidth="1"/>
    <col min="7" max="7" width="11.83203125" bestFit="1" customWidth="1"/>
    <col min="8" max="8" width="11.1640625" bestFit="1" customWidth="1"/>
    <col min="9" max="9" width="12" bestFit="1" customWidth="1"/>
    <col min="10" max="10" width="15.1640625" bestFit="1" customWidth="1"/>
    <col min="11" max="11" width="11.83203125" bestFit="1" customWidth="1"/>
    <col min="12" max="12" width="11.1640625" bestFit="1" customWidth="1"/>
    <col min="13" max="13" width="12" bestFit="1" customWidth="1"/>
    <col min="14" max="14" width="19.6640625" bestFit="1" customWidth="1"/>
    <col min="15" max="15" width="28.83203125" hidden="1" customWidth="1"/>
    <col min="16" max="16" width="29" hidden="1" customWidth="1"/>
    <col min="17" max="17" width="16.5" bestFit="1" customWidth="1"/>
  </cols>
  <sheetData>
    <row r="1" spans="1:17" ht="51" customHeight="1" x14ac:dyDescent="0.35">
      <c r="A1" s="8" t="s">
        <v>228</v>
      </c>
      <c r="B1" s="8"/>
      <c r="C1" s="8"/>
    </row>
    <row r="2" spans="1:17" x14ac:dyDescent="0.2">
      <c r="A2" s="23" t="s">
        <v>223</v>
      </c>
      <c r="B2" s="41"/>
      <c r="C2" s="34"/>
      <c r="D2" s="42"/>
      <c r="E2" s="35"/>
    </row>
    <row r="3" spans="1:17" x14ac:dyDescent="0.2">
      <c r="A3" s="26" t="s">
        <v>222</v>
      </c>
      <c r="B3" s="14" t="s">
        <v>212</v>
      </c>
      <c r="C3" s="13"/>
      <c r="D3" s="13"/>
      <c r="E3" s="27"/>
    </row>
    <row r="4" spans="1:17" x14ac:dyDescent="0.2">
      <c r="A4" s="26" t="s">
        <v>210</v>
      </c>
      <c r="B4" s="13" t="s">
        <v>115</v>
      </c>
      <c r="C4" s="13" t="s">
        <v>8</v>
      </c>
      <c r="D4" s="13" t="s">
        <v>65</v>
      </c>
      <c r="E4" s="27" t="s">
        <v>211</v>
      </c>
    </row>
    <row r="5" spans="1:17" x14ac:dyDescent="0.2">
      <c r="A5" s="29" t="s">
        <v>12</v>
      </c>
      <c r="B5" s="15">
        <v>56</v>
      </c>
      <c r="C5" s="16">
        <v>21</v>
      </c>
      <c r="D5" s="17">
        <v>30</v>
      </c>
      <c r="E5" s="30">
        <v>107</v>
      </c>
    </row>
    <row r="6" spans="1:17" x14ac:dyDescent="0.2">
      <c r="A6" s="29" t="s">
        <v>7</v>
      </c>
      <c r="B6" s="15">
        <v>53</v>
      </c>
      <c r="C6" s="16">
        <v>25</v>
      </c>
      <c r="D6" s="17">
        <v>30</v>
      </c>
      <c r="E6" s="30">
        <v>108</v>
      </c>
    </row>
    <row r="7" spans="1:17" x14ac:dyDescent="0.2">
      <c r="A7" s="29" t="s">
        <v>10</v>
      </c>
      <c r="B7" s="15">
        <v>53</v>
      </c>
      <c r="C7" s="16">
        <v>15</v>
      </c>
      <c r="D7" s="17">
        <v>24</v>
      </c>
      <c r="E7" s="30">
        <v>92</v>
      </c>
    </row>
    <row r="8" spans="1:17" x14ac:dyDescent="0.2">
      <c r="A8" s="31" t="s">
        <v>211</v>
      </c>
      <c r="B8" s="19">
        <v>162</v>
      </c>
      <c r="C8" s="19">
        <v>61</v>
      </c>
      <c r="D8" s="19">
        <v>84</v>
      </c>
      <c r="E8" s="32">
        <v>307</v>
      </c>
    </row>
    <row r="11" spans="1:17" x14ac:dyDescent="0.2">
      <c r="A11" s="6" t="s">
        <v>221</v>
      </c>
      <c r="B11" s="6"/>
    </row>
    <row r="12" spans="1:17" ht="19" x14ac:dyDescent="0.25">
      <c r="A12" s="9" t="s">
        <v>217</v>
      </c>
      <c r="B12" s="12">
        <f>AVERAGE(provider_panel[[#All],[avg_pdc]])</f>
        <v>0.77574999999999994</v>
      </c>
    </row>
    <row r="13" spans="1:17" ht="19" x14ac:dyDescent="0.25">
      <c r="A13" s="9" t="s">
        <v>218</v>
      </c>
      <c r="B13" s="10">
        <f>AVERAGE(DATA_PROVIDER_PANEL!H10:H1007)</f>
        <v>0.52599999999999991</v>
      </c>
    </row>
    <row r="14" spans="1:17" ht="19" x14ac:dyDescent="0.25">
      <c r="A14" s="9" t="s">
        <v>219</v>
      </c>
      <c r="B14" s="11">
        <f>AVERAGE(DATA_PROVIDER_PANEL!J10:J1007)/100</f>
        <v>1.9750000000000002E-3</v>
      </c>
    </row>
    <row r="15" spans="1:17" ht="17" customHeight="1" x14ac:dyDescent="0.2">
      <c r="A15" s="23" t="s">
        <v>224</v>
      </c>
      <c r="B15" s="24"/>
      <c r="C15" s="33"/>
      <c r="D15" s="34"/>
      <c r="E15" s="34"/>
      <c r="F15" s="34"/>
      <c r="G15" s="34"/>
      <c r="H15" s="34"/>
      <c r="I15" s="34"/>
      <c r="J15" s="34"/>
      <c r="K15" s="34"/>
      <c r="L15" s="34"/>
      <c r="M15" s="34"/>
      <c r="N15" s="34"/>
      <c r="O15" s="34"/>
      <c r="P15" s="34"/>
      <c r="Q15" s="35"/>
    </row>
    <row r="16" spans="1:17" x14ac:dyDescent="0.2">
      <c r="A16" s="28"/>
      <c r="B16" s="14" t="s">
        <v>212</v>
      </c>
      <c r="C16" s="13"/>
      <c r="D16" s="13"/>
      <c r="E16" s="13"/>
      <c r="F16" s="13"/>
      <c r="G16" s="13"/>
      <c r="H16" s="13"/>
      <c r="I16" s="13"/>
      <c r="J16" s="13"/>
      <c r="K16" s="13"/>
      <c r="L16" s="13"/>
      <c r="M16" s="13"/>
      <c r="N16" s="13"/>
      <c r="O16" s="13"/>
      <c r="P16" s="13"/>
      <c r="Q16" s="27"/>
    </row>
    <row r="17" spans="1:17" x14ac:dyDescent="0.2">
      <c r="A17" s="28"/>
      <c r="B17" s="13" t="s">
        <v>12</v>
      </c>
      <c r="C17" s="13"/>
      <c r="D17" s="13"/>
      <c r="E17" s="13"/>
      <c r="F17" s="13" t="s">
        <v>7</v>
      </c>
      <c r="G17" s="13"/>
      <c r="H17" s="13"/>
      <c r="I17" s="13"/>
      <c r="J17" s="13" t="s">
        <v>10</v>
      </c>
      <c r="K17" s="13"/>
      <c r="L17" s="13"/>
      <c r="M17" s="13"/>
      <c r="N17" s="13" t="s">
        <v>233</v>
      </c>
      <c r="O17" s="13" t="s">
        <v>229</v>
      </c>
      <c r="P17" s="13" t="s">
        <v>231</v>
      </c>
      <c r="Q17" s="27" t="s">
        <v>226</v>
      </c>
    </row>
    <row r="18" spans="1:17" x14ac:dyDescent="0.2">
      <c r="A18" s="26" t="s">
        <v>210</v>
      </c>
      <c r="B18" s="13" t="s">
        <v>234</v>
      </c>
      <c r="C18" s="13" t="s">
        <v>230</v>
      </c>
      <c r="D18" s="13" t="s">
        <v>232</v>
      </c>
      <c r="E18" s="13" t="s">
        <v>227</v>
      </c>
      <c r="F18" s="13" t="s">
        <v>234</v>
      </c>
      <c r="G18" s="13" t="s">
        <v>230</v>
      </c>
      <c r="H18" s="13" t="s">
        <v>232</v>
      </c>
      <c r="I18" s="13" t="s">
        <v>227</v>
      </c>
      <c r="J18" s="13" t="s">
        <v>234</v>
      </c>
      <c r="K18" s="13" t="s">
        <v>230</v>
      </c>
      <c r="L18" s="13" t="s">
        <v>232</v>
      </c>
      <c r="M18" s="13" t="s">
        <v>227</v>
      </c>
      <c r="N18" s="13"/>
      <c r="O18" s="13"/>
      <c r="P18" s="13"/>
      <c r="Q18" s="27"/>
    </row>
    <row r="19" spans="1:17" x14ac:dyDescent="0.2">
      <c r="A19" s="29" t="s">
        <v>197</v>
      </c>
      <c r="B19" s="18">
        <v>8</v>
      </c>
      <c r="C19" s="20">
        <v>0.125</v>
      </c>
      <c r="D19" s="21">
        <v>0.375</v>
      </c>
      <c r="E19" s="22">
        <v>0.63700000000000001</v>
      </c>
      <c r="F19" s="18">
        <v>8</v>
      </c>
      <c r="G19" s="20">
        <v>0.25</v>
      </c>
      <c r="H19" s="21">
        <v>0.125</v>
      </c>
      <c r="I19" s="22">
        <v>0.755</v>
      </c>
      <c r="J19" s="18">
        <v>6</v>
      </c>
      <c r="K19" s="20">
        <v>0.66700000000000004</v>
      </c>
      <c r="L19" s="21">
        <v>0</v>
      </c>
      <c r="M19" s="22">
        <v>0.82499999999999996</v>
      </c>
      <c r="N19" s="18">
        <v>22</v>
      </c>
      <c r="O19" s="20">
        <v>1.042</v>
      </c>
      <c r="P19" s="21">
        <v>0.5</v>
      </c>
      <c r="Q19" s="36">
        <v>0.73899999999999988</v>
      </c>
    </row>
    <row r="20" spans="1:17" x14ac:dyDescent="0.2">
      <c r="A20" s="29" t="s">
        <v>182</v>
      </c>
      <c r="B20" s="18">
        <v>9</v>
      </c>
      <c r="C20" s="20">
        <v>0.55600000000000005</v>
      </c>
      <c r="D20" s="21">
        <v>0.33299999999999996</v>
      </c>
      <c r="E20" s="22">
        <v>0.68899999999999995</v>
      </c>
      <c r="F20" s="18">
        <v>13</v>
      </c>
      <c r="G20" s="20">
        <v>0.53799999999999992</v>
      </c>
      <c r="H20" s="21">
        <v>0.38500000000000001</v>
      </c>
      <c r="I20" s="22">
        <v>0.71499999999999997</v>
      </c>
      <c r="J20" s="18">
        <v>8</v>
      </c>
      <c r="K20" s="20">
        <v>0.5</v>
      </c>
      <c r="L20" s="21">
        <v>0.25</v>
      </c>
      <c r="M20" s="22">
        <v>0.77900000000000003</v>
      </c>
      <c r="N20" s="18">
        <v>30</v>
      </c>
      <c r="O20" s="20">
        <v>1.5939999999999999</v>
      </c>
      <c r="P20" s="21">
        <v>0.96799999999999997</v>
      </c>
      <c r="Q20" s="36">
        <v>0.72766666666666657</v>
      </c>
    </row>
    <row r="21" spans="1:17" x14ac:dyDescent="0.2">
      <c r="A21" s="29" t="s">
        <v>193</v>
      </c>
      <c r="B21" s="18">
        <v>5</v>
      </c>
      <c r="C21" s="20">
        <v>0.6</v>
      </c>
      <c r="D21" s="21">
        <v>0.4</v>
      </c>
      <c r="E21" s="22">
        <v>0.70099999999999996</v>
      </c>
      <c r="F21" s="18">
        <v>4</v>
      </c>
      <c r="G21" s="20">
        <v>0.5</v>
      </c>
      <c r="H21" s="21">
        <v>0</v>
      </c>
      <c r="I21" s="22">
        <v>0.82099999999999995</v>
      </c>
      <c r="J21" s="18">
        <v>5</v>
      </c>
      <c r="K21" s="20">
        <v>0.4</v>
      </c>
      <c r="L21" s="21">
        <v>0.4</v>
      </c>
      <c r="M21" s="22">
        <v>0.73799999999999999</v>
      </c>
      <c r="N21" s="18">
        <v>14</v>
      </c>
      <c r="O21" s="20">
        <v>1.5</v>
      </c>
      <c r="P21" s="21">
        <v>0.8</v>
      </c>
      <c r="Q21" s="36">
        <v>0.7533333333333333</v>
      </c>
    </row>
    <row r="22" spans="1:17" x14ac:dyDescent="0.2">
      <c r="A22" s="29" t="s">
        <v>202</v>
      </c>
      <c r="B22" s="18">
        <v>10</v>
      </c>
      <c r="C22" s="20">
        <v>0.4</v>
      </c>
      <c r="D22" s="21">
        <v>0.2</v>
      </c>
      <c r="E22" s="22">
        <v>0.72399999999999998</v>
      </c>
      <c r="F22" s="18">
        <v>10</v>
      </c>
      <c r="G22" s="20">
        <v>0.7</v>
      </c>
      <c r="H22" s="21">
        <v>0.1</v>
      </c>
      <c r="I22" s="22">
        <v>0.83699999999999997</v>
      </c>
      <c r="J22" s="18">
        <v>5</v>
      </c>
      <c r="K22" s="20">
        <v>0.2</v>
      </c>
      <c r="L22" s="21">
        <v>0.2</v>
      </c>
      <c r="M22" s="22">
        <v>0.71299999999999997</v>
      </c>
      <c r="N22" s="18">
        <v>25</v>
      </c>
      <c r="O22" s="20">
        <v>1.3</v>
      </c>
      <c r="P22" s="21">
        <v>0.5</v>
      </c>
      <c r="Q22" s="36">
        <v>0.75800000000000001</v>
      </c>
    </row>
    <row r="23" spans="1:17" x14ac:dyDescent="0.2">
      <c r="A23" s="29" t="s">
        <v>195</v>
      </c>
      <c r="B23" s="18">
        <v>9</v>
      </c>
      <c r="C23" s="20">
        <v>0.33299999999999996</v>
      </c>
      <c r="D23" s="21">
        <v>0.222</v>
      </c>
      <c r="E23" s="22">
        <v>0.73399999999999999</v>
      </c>
      <c r="F23" s="18">
        <v>8</v>
      </c>
      <c r="G23" s="20">
        <v>0.375</v>
      </c>
      <c r="H23" s="21">
        <v>0.125</v>
      </c>
      <c r="I23" s="22">
        <v>0.75800000000000001</v>
      </c>
      <c r="J23" s="18">
        <v>7</v>
      </c>
      <c r="K23" s="20">
        <v>0.57100000000000006</v>
      </c>
      <c r="L23" s="21">
        <v>0.14300000000000002</v>
      </c>
      <c r="M23" s="22">
        <v>0.77800000000000002</v>
      </c>
      <c r="N23" s="18">
        <v>24</v>
      </c>
      <c r="O23" s="20">
        <v>1.2789999999999999</v>
      </c>
      <c r="P23" s="21">
        <v>0.49</v>
      </c>
      <c r="Q23" s="36">
        <v>0.75666666666666671</v>
      </c>
    </row>
    <row r="24" spans="1:17" x14ac:dyDescent="0.2">
      <c r="A24" s="29" t="s">
        <v>186</v>
      </c>
      <c r="B24" s="18">
        <v>19</v>
      </c>
      <c r="C24" s="20">
        <v>0.52600000000000002</v>
      </c>
      <c r="D24" s="21">
        <v>0.26300000000000001</v>
      </c>
      <c r="E24" s="22">
        <v>0.76300000000000001</v>
      </c>
      <c r="F24" s="18">
        <v>18</v>
      </c>
      <c r="G24" s="20">
        <v>0.33299999999999996</v>
      </c>
      <c r="H24" s="21">
        <v>0.38900000000000001</v>
      </c>
      <c r="I24" s="22">
        <v>0.67500000000000004</v>
      </c>
      <c r="J24" s="18">
        <v>10</v>
      </c>
      <c r="K24" s="20">
        <v>0.7</v>
      </c>
      <c r="L24" s="21">
        <v>0</v>
      </c>
      <c r="M24" s="22">
        <v>0.86899999999999999</v>
      </c>
      <c r="N24" s="18">
        <v>47</v>
      </c>
      <c r="O24" s="20">
        <v>1.5589999999999999</v>
      </c>
      <c r="P24" s="21">
        <v>0.65200000000000002</v>
      </c>
      <c r="Q24" s="36">
        <v>0.76900000000000013</v>
      </c>
    </row>
    <row r="25" spans="1:17" x14ac:dyDescent="0.2">
      <c r="A25" s="29" t="s">
        <v>179</v>
      </c>
      <c r="B25" s="18">
        <v>13</v>
      </c>
      <c r="C25" s="20">
        <v>0.53799999999999992</v>
      </c>
      <c r="D25" s="21">
        <v>0.23100000000000001</v>
      </c>
      <c r="E25" s="22">
        <v>0.78400000000000003</v>
      </c>
      <c r="F25" s="18">
        <v>13</v>
      </c>
      <c r="G25" s="20">
        <v>0.53799999999999992</v>
      </c>
      <c r="H25" s="21">
        <v>0.23100000000000001</v>
      </c>
      <c r="I25" s="22">
        <v>0.76100000000000001</v>
      </c>
      <c r="J25" s="18">
        <v>9</v>
      </c>
      <c r="K25" s="20">
        <v>0.55600000000000005</v>
      </c>
      <c r="L25" s="21">
        <v>0</v>
      </c>
      <c r="M25" s="22">
        <v>0.84099999999999997</v>
      </c>
      <c r="N25" s="18">
        <v>35</v>
      </c>
      <c r="O25" s="20">
        <v>1.6319999999999999</v>
      </c>
      <c r="P25" s="21">
        <v>0.46200000000000002</v>
      </c>
      <c r="Q25" s="36">
        <v>0.79533333333333334</v>
      </c>
    </row>
    <row r="26" spans="1:17" x14ac:dyDescent="0.2">
      <c r="A26" s="29" t="s">
        <v>190</v>
      </c>
      <c r="B26" s="18">
        <v>3</v>
      </c>
      <c r="C26" s="20">
        <v>0.66700000000000004</v>
      </c>
      <c r="D26" s="21">
        <v>0</v>
      </c>
      <c r="E26" s="22">
        <v>0.81299999999999994</v>
      </c>
      <c r="F26" s="18">
        <v>10</v>
      </c>
      <c r="G26" s="20">
        <v>0.5</v>
      </c>
      <c r="H26" s="21">
        <v>0.2</v>
      </c>
      <c r="I26" s="22">
        <v>0.77700000000000002</v>
      </c>
      <c r="J26" s="18">
        <v>9</v>
      </c>
      <c r="K26" s="20">
        <v>0.77800000000000002</v>
      </c>
      <c r="L26" s="21">
        <v>0.111</v>
      </c>
      <c r="M26" s="22">
        <v>0.83799999999999997</v>
      </c>
      <c r="N26" s="18">
        <v>22</v>
      </c>
      <c r="O26" s="20">
        <v>1.9450000000000001</v>
      </c>
      <c r="P26" s="21">
        <v>0.311</v>
      </c>
      <c r="Q26" s="36">
        <v>0.80933333333333335</v>
      </c>
    </row>
    <row r="27" spans="1:17" x14ac:dyDescent="0.2">
      <c r="A27" s="29" t="s">
        <v>200</v>
      </c>
      <c r="B27" s="18">
        <v>8</v>
      </c>
      <c r="C27" s="20">
        <v>0.625</v>
      </c>
      <c r="D27" s="21">
        <v>0.125</v>
      </c>
      <c r="E27" s="22">
        <v>0.81399999999999995</v>
      </c>
      <c r="F27" s="18">
        <v>6</v>
      </c>
      <c r="G27" s="20">
        <v>0.33299999999999996</v>
      </c>
      <c r="H27" s="21">
        <v>0.16699999999999998</v>
      </c>
      <c r="I27" s="22">
        <v>0.71899999999999997</v>
      </c>
      <c r="J27" s="18">
        <v>12</v>
      </c>
      <c r="K27" s="20">
        <v>0.66700000000000004</v>
      </c>
      <c r="L27" s="21">
        <v>8.3000000000000004E-2</v>
      </c>
      <c r="M27" s="22">
        <v>0.82799999999999996</v>
      </c>
      <c r="N27" s="18">
        <v>26</v>
      </c>
      <c r="O27" s="20">
        <v>1.625</v>
      </c>
      <c r="P27" s="21">
        <v>0.375</v>
      </c>
      <c r="Q27" s="36">
        <v>0.78699999999999992</v>
      </c>
    </row>
    <row r="28" spans="1:17" x14ac:dyDescent="0.2">
      <c r="A28" s="29" t="s">
        <v>188</v>
      </c>
      <c r="B28" s="18">
        <v>7</v>
      </c>
      <c r="C28" s="20">
        <v>0.57100000000000006</v>
      </c>
      <c r="D28" s="21">
        <v>0</v>
      </c>
      <c r="E28" s="22">
        <v>0.85099999999999998</v>
      </c>
      <c r="F28" s="18">
        <v>6</v>
      </c>
      <c r="G28" s="20">
        <v>0.66700000000000004</v>
      </c>
      <c r="H28" s="21">
        <v>0.16699999999999998</v>
      </c>
      <c r="I28" s="22">
        <v>0.79300000000000004</v>
      </c>
      <c r="J28" s="18">
        <v>8</v>
      </c>
      <c r="K28" s="20">
        <v>0.25</v>
      </c>
      <c r="L28" s="21">
        <v>0.375</v>
      </c>
      <c r="M28" s="22">
        <v>0.65700000000000003</v>
      </c>
      <c r="N28" s="18">
        <v>21</v>
      </c>
      <c r="O28" s="20">
        <v>1.488</v>
      </c>
      <c r="P28" s="21">
        <v>0.54200000000000004</v>
      </c>
      <c r="Q28" s="36">
        <v>0.76700000000000002</v>
      </c>
    </row>
    <row r="29" spans="1:17" x14ac:dyDescent="0.2">
      <c r="A29" s="29" t="s">
        <v>184</v>
      </c>
      <c r="B29" s="18">
        <v>10</v>
      </c>
      <c r="C29" s="20">
        <v>0.7</v>
      </c>
      <c r="D29" s="21">
        <v>0</v>
      </c>
      <c r="E29" s="22">
        <v>0.879</v>
      </c>
      <c r="F29" s="18">
        <v>7</v>
      </c>
      <c r="G29" s="20">
        <v>0.57100000000000006</v>
      </c>
      <c r="H29" s="21">
        <v>0.28600000000000003</v>
      </c>
      <c r="I29" s="22">
        <v>0.73799999999999999</v>
      </c>
      <c r="J29" s="18">
        <v>7</v>
      </c>
      <c r="K29" s="20">
        <v>0.57100000000000006</v>
      </c>
      <c r="L29" s="21">
        <v>0.42899999999999999</v>
      </c>
      <c r="M29" s="22">
        <v>0.71699999999999997</v>
      </c>
      <c r="N29" s="18">
        <v>24</v>
      </c>
      <c r="O29" s="20">
        <v>1.8420000000000001</v>
      </c>
      <c r="P29" s="21">
        <v>0.71500000000000008</v>
      </c>
      <c r="Q29" s="36">
        <v>0.77800000000000002</v>
      </c>
    </row>
    <row r="30" spans="1:17" x14ac:dyDescent="0.2">
      <c r="A30" s="31" t="s">
        <v>204</v>
      </c>
      <c r="B30" s="19">
        <v>6</v>
      </c>
      <c r="C30" s="37">
        <v>0.83299999999999996</v>
      </c>
      <c r="D30" s="38">
        <v>0</v>
      </c>
      <c r="E30" s="39">
        <v>0.91600000000000004</v>
      </c>
      <c r="F30" s="19">
        <v>5</v>
      </c>
      <c r="G30" s="37">
        <v>0.8</v>
      </c>
      <c r="H30" s="38">
        <v>0.2</v>
      </c>
      <c r="I30" s="39">
        <v>0.81599999999999995</v>
      </c>
      <c r="J30" s="19">
        <v>6</v>
      </c>
      <c r="K30" s="37">
        <v>0.83299999999999996</v>
      </c>
      <c r="L30" s="38">
        <v>0.16699999999999998</v>
      </c>
      <c r="M30" s="39">
        <v>0.874</v>
      </c>
      <c r="N30" s="19">
        <v>17</v>
      </c>
      <c r="O30" s="37">
        <v>2.4660000000000002</v>
      </c>
      <c r="P30" s="38">
        <v>0.36699999999999999</v>
      </c>
      <c r="Q30" s="40">
        <v>0.86866666666666659</v>
      </c>
    </row>
    <row r="33" spans="1:3" x14ac:dyDescent="0.2">
      <c r="A33" s="5"/>
      <c r="B33" s="5"/>
    </row>
    <row r="35" spans="1:3" x14ac:dyDescent="0.2">
      <c r="A35" s="7"/>
      <c r="B35" s="7"/>
      <c r="C35" s="7"/>
    </row>
    <row r="36" spans="1:3" x14ac:dyDescent="0.2">
      <c r="A36" s="43"/>
      <c r="B36" s="43"/>
      <c r="C36" s="43"/>
    </row>
    <row r="37" spans="1:3" x14ac:dyDescent="0.2">
      <c r="A37" s="23" t="s">
        <v>235</v>
      </c>
      <c r="B37" s="24"/>
      <c r="C37" s="25"/>
    </row>
    <row r="38" spans="1:3" x14ac:dyDescent="0.2">
      <c r="A38" s="44" t="s">
        <v>1</v>
      </c>
      <c r="B38" s="45" t="s">
        <v>213</v>
      </c>
      <c r="C38" s="27"/>
    </row>
    <row r="39" spans="1:3" x14ac:dyDescent="0.2">
      <c r="A39" s="28"/>
      <c r="B39" s="13"/>
      <c r="C39" s="27"/>
    </row>
    <row r="40" spans="1:3" x14ac:dyDescent="0.2">
      <c r="A40" s="50" t="s">
        <v>210</v>
      </c>
      <c r="B40" s="54" t="s">
        <v>227</v>
      </c>
      <c r="C40" s="45" t="s">
        <v>225</v>
      </c>
    </row>
    <row r="41" spans="1:3" x14ac:dyDescent="0.2">
      <c r="A41" s="51" t="s">
        <v>179</v>
      </c>
      <c r="B41" s="46">
        <v>0.45816666666666667</v>
      </c>
      <c r="C41" s="47">
        <v>147</v>
      </c>
    </row>
    <row r="42" spans="1:3" x14ac:dyDescent="0.2">
      <c r="A42" s="52" t="s">
        <v>182</v>
      </c>
      <c r="B42" s="48">
        <v>0.45099999999999996</v>
      </c>
      <c r="C42" s="30">
        <v>145</v>
      </c>
    </row>
    <row r="43" spans="1:3" x14ac:dyDescent="0.2">
      <c r="A43" s="52" t="s">
        <v>184</v>
      </c>
      <c r="B43" s="48">
        <v>0.45419999999999999</v>
      </c>
      <c r="C43" s="30">
        <v>142</v>
      </c>
    </row>
    <row r="44" spans="1:3" x14ac:dyDescent="0.2">
      <c r="A44" s="52" t="s">
        <v>186</v>
      </c>
      <c r="B44" s="48">
        <v>0.48583333333333334</v>
      </c>
      <c r="C44" s="30">
        <v>111</v>
      </c>
    </row>
    <row r="45" spans="1:3" x14ac:dyDescent="0.2">
      <c r="A45" s="52" t="s">
        <v>188</v>
      </c>
      <c r="B45" s="48">
        <v>0.44024999999999997</v>
      </c>
      <c r="C45" s="30">
        <v>108</v>
      </c>
    </row>
    <row r="46" spans="1:3" x14ac:dyDescent="0.2">
      <c r="A46" s="52" t="s">
        <v>190</v>
      </c>
      <c r="B46" s="48">
        <v>0.44366666666666665</v>
      </c>
      <c r="C46" s="30">
        <v>101</v>
      </c>
    </row>
    <row r="47" spans="1:3" x14ac:dyDescent="0.2">
      <c r="A47" s="52" t="s">
        <v>193</v>
      </c>
      <c r="B47" s="48">
        <v>0.45099999999999996</v>
      </c>
      <c r="C47" s="30">
        <v>85</v>
      </c>
    </row>
    <row r="48" spans="1:3" x14ac:dyDescent="0.2">
      <c r="A48" s="52" t="s">
        <v>195</v>
      </c>
      <c r="B48" s="48">
        <v>0.47675000000000001</v>
      </c>
      <c r="C48" s="30">
        <v>84</v>
      </c>
    </row>
    <row r="49" spans="1:3" x14ac:dyDescent="0.2">
      <c r="A49" s="52" t="s">
        <v>200</v>
      </c>
      <c r="B49" s="48">
        <v>0.48900000000000005</v>
      </c>
      <c r="C49" s="30">
        <v>35</v>
      </c>
    </row>
    <row r="50" spans="1:3" x14ac:dyDescent="0.2">
      <c r="A50" s="52" t="s">
        <v>202</v>
      </c>
      <c r="B50" s="48">
        <v>0.51075000000000004</v>
      </c>
      <c r="C50" s="30">
        <v>18</v>
      </c>
    </row>
    <row r="51" spans="1:3" x14ac:dyDescent="0.2">
      <c r="A51" s="52" t="s">
        <v>197</v>
      </c>
      <c r="B51" s="48">
        <v>0.52700000000000002</v>
      </c>
      <c r="C51" s="30">
        <v>15</v>
      </c>
    </row>
    <row r="52" spans="1:3" x14ac:dyDescent="0.2">
      <c r="A52" s="53" t="s">
        <v>204</v>
      </c>
      <c r="B52" s="49">
        <v>0.50800000000000001</v>
      </c>
      <c r="C52" s="32">
        <v>11</v>
      </c>
    </row>
  </sheetData>
  <mergeCells count="5">
    <mergeCell ref="A37:C37"/>
    <mergeCell ref="A1:C1"/>
    <mergeCell ref="A2:B2"/>
    <mergeCell ref="A33:B33"/>
    <mergeCell ref="A15:B15"/>
  </mergeCells>
  <pageMargins left="0.7" right="0.7" top="0.75" bottom="0.75" header="0.3" footer="0.3"/>
  <pageSetup orientation="portrait" horizontalDpi="0" verticalDpi="0"/>
  <headerFooter>
    <oddFooter>Page &amp;P</oddFooter>
  </headerFooter>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FFA507-18D4-4B49-8B16-E7C295549C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DATA_PDC</vt:lpstr>
      <vt:lpstr>DATA_PROVIDER_PANEL</vt:lpstr>
      <vt:lpstr>DATA_HIGH_RISK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LJ</dc:creator>
  <cp:lastModifiedBy>LJ</cp:lastModifiedBy>
  <dcterms:created xsi:type="dcterms:W3CDTF">2026-01-21T03:29:27Z</dcterms:created>
  <dcterms:modified xsi:type="dcterms:W3CDTF">2026-01-21T08:14:04Z</dcterms:modified>
</cp:coreProperties>
</file>